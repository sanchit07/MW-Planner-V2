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_Inputs" sheetId="1" state="visible" r:id="rId1"/>
    <sheet name="2_Inventory_Data" sheetId="2" state="visible" r:id="rId2"/>
    <sheet name="3_Scoring" sheetId="3" state="visible" r:id="rId3"/>
    <sheet name="4_Selection" sheetId="4" state="visible" r:id="rId4"/>
    <sheet name="5_Schedules" sheetId="5" state="visible" r:id="rId5"/>
    <sheet name="6_Visualization" sheetId="6" state="visible" r:id="rId6"/>
    <sheet name="7_Formula_Referenc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1">
    <font>
      <name val="Calibri"/>
      <family val="2"/>
      <color theme="1"/>
      <sz val="11"/>
      <scheme val="minor"/>
    </font>
    <font>
      <b val="1"/>
      <color rgb="001F4E79"/>
      <sz val="16"/>
    </font>
    <font>
      <i val="1"/>
      <sz val="10"/>
    </font>
    <font>
      <b val="1"/>
      <color rgb="00FFFFFF"/>
      <sz val="11"/>
    </font>
    <font>
      <b val="1"/>
      <sz val="10"/>
    </font>
    <font>
      <b val="1"/>
      <color rgb="001F4E79"/>
    </font>
    <font>
      <b val="1"/>
    </font>
    <font>
      <b val="1"/>
      <color rgb="001F4E79"/>
      <sz val="14"/>
    </font>
    <font>
      <i val="1"/>
      <sz val="9"/>
    </font>
    <font>
      <i val="1"/>
      <color rgb="007030A0"/>
      <sz val="9"/>
    </font>
    <font>
      <i val="1"/>
    </font>
  </fonts>
  <fills count="8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2EFDA"/>
        <bgColor rgb="00E2EFDA"/>
      </patternFill>
    </fill>
    <fill>
      <patternFill patternType="solid">
        <fgColor rgb="00D9E2F3"/>
        <bgColor rgb="00D9E2F3"/>
      </patternFill>
    </fill>
    <fill>
      <patternFill patternType="solid">
        <fgColor rgb="002E75B6"/>
        <bgColor rgb="002E75B6"/>
      </patternFill>
    </fill>
    <fill>
      <patternFill patternType="solid">
        <fgColor rgb="00BF8F00"/>
        <bgColor rgb="00BF8F00"/>
      </patternFill>
    </fill>
    <fill>
      <patternFill patternType="solid">
        <fgColor rgb="007030A0"/>
        <bgColor rgb="007030A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0" fillId="3" borderId="1" pivotButton="0" quotePrefix="0" xfId="0"/>
    <xf numFmtId="0" fontId="5" fillId="0" borderId="0" pivotButton="0" quotePrefix="0" xfId="0"/>
    <xf numFmtId="3" fontId="0" fillId="3" borderId="1" pivotButton="0" quotePrefix="0" xfId="0"/>
    <xf numFmtId="0" fontId="6" fillId="4" borderId="0" pivotButton="0" quotePrefix="0" xfId="0"/>
    <xf numFmtId="9" fontId="0" fillId="0" borderId="0" pivotButton="0" quotePrefix="0" xfId="0"/>
    <xf numFmtId="3" fontId="0" fillId="0" borderId="0" pivotButton="0" quotePrefix="0" xfId="0"/>
    <xf numFmtId="0" fontId="3" fillId="2" borderId="0" applyAlignment="1" pivotButton="0" quotePrefix="0" xfId="0">
      <alignment horizontal="center" wrapText="1"/>
    </xf>
    <xf numFmtId="0" fontId="7" fillId="0" borderId="0" pivotButton="0" quotePrefix="0" xfId="0"/>
    <xf numFmtId="0" fontId="8" fillId="0" borderId="0" pivotButton="0" quotePrefix="0" xfId="0"/>
    <xf numFmtId="0" fontId="3" fillId="2" borderId="0" applyAlignment="1" pivotButton="0" quotePrefix="0" xfId="0">
      <alignment horizontal="center"/>
    </xf>
    <xf numFmtId="0" fontId="3" fillId="5" borderId="0" pivotButton="0" quotePrefix="0" xfId="0"/>
    <xf numFmtId="0" fontId="3" fillId="6" borderId="0" pivotButton="0" quotePrefix="0" xfId="0"/>
    <xf numFmtId="0" fontId="3" fillId="7" borderId="0" pivotButton="0" quotePrefix="0" xfId="0"/>
    <xf numFmtId="0" fontId="9" fillId="0" borderId="0" pivotButton="0" quotePrefix="0" xfId="0"/>
    <xf numFmtId="164" fontId="0" fillId="0" borderId="0" pivotButton="0" quotePrefix="0" xfId="0"/>
    <xf numFmtId="4" fontId="0" fillId="0" borderId="0" pivotButton="0" quotePrefix="0" xfId="0"/>
    <xf numFmtId="0" fontId="10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EB9C"/>
          <bgColor rgb="00FFEB9C"/>
        </patternFill>
      </fill>
    </dxf>
    <dxf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Budget Allocation by Classification</a:t>
            </a:r>
          </a:p>
        </rich>
      </tx>
    </title>
    <plotArea>
      <pieChart>
        <varyColors val="1"/>
        <ser>
          <idx val="0"/>
          <order val="0"/>
          <tx>
            <strRef>
              <f>'6_Visualization'!E4</f>
            </strRef>
          </tx>
          <spPr>
            <a:ln>
              <a:prstDash val="solid"/>
            </a:ln>
          </spPr>
          <cat>
            <numRef>
              <f>'6_Visualization'!$D$5:$D$7</f>
            </numRef>
          </cat>
          <val>
            <numRef>
              <f>'6_Visualization'!$E$5:$E$7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9</row>
      <rowOff>0</rowOff>
    </from>
    <ext cx="50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8" customWidth="1" min="3" max="3"/>
    <col width="18" customWidth="1" min="4" max="4"/>
    <col width="16" customWidth="1" min="5" max="5"/>
    <col width="14" customWidth="1" min="6" max="6"/>
    <col width="35" customWidth="1" min="7" max="7"/>
  </cols>
  <sheetData>
    <row r="1">
      <c r="A1" s="1" t="inlineStr">
        <is>
          <t>MW PLANNER - RECOMMENDATION ENGINE V2 SIMULATOR</t>
        </is>
      </c>
    </row>
    <row r="2">
      <c r="A2" s="2" t="inlineStr">
        <is>
          <t>Configure campaign parameters. All selections filter and score inventories automatically.</t>
        </is>
      </c>
    </row>
    <row r="4">
      <c r="A4" s="3" t="inlineStr">
        <is>
          <t>CAMPAIGN BASICS</t>
        </is>
      </c>
      <c r="D4" s="3" t="inlineStr">
        <is>
          <t>AUDIENCE TARGETING</t>
        </is>
      </c>
    </row>
    <row r="5">
      <c r="A5" s="4" t="inlineStr">
        <is>
          <t>Country *</t>
        </is>
      </c>
      <c r="B5" s="5" t="inlineStr">
        <is>
          <t>Malaysia</t>
        </is>
      </c>
      <c r="C5" s="6">
        <f>IF(B5="Malaysia","MYR","JPY")</f>
        <v/>
      </c>
      <c r="D5" s="4" t="inlineStr">
        <is>
          <t>Age Group</t>
        </is>
      </c>
      <c r="E5" s="5" t="inlineStr">
        <is>
          <t>25-44</t>
        </is>
      </c>
    </row>
    <row r="6">
      <c r="A6" s="4" t="inlineStr">
        <is>
          <t>City Filter</t>
        </is>
      </c>
      <c r="B6" s="5" t="inlineStr">
        <is>
          <t>All Cities</t>
        </is>
      </c>
      <c r="D6" s="4" t="inlineStr">
        <is>
          <t>Gender</t>
        </is>
      </c>
      <c r="E6" s="5" t="inlineStr">
        <is>
          <t>All</t>
        </is>
      </c>
    </row>
    <row r="7">
      <c r="A7" s="4" t="inlineStr">
        <is>
          <t>Start Date *</t>
        </is>
      </c>
      <c r="B7" s="5" t="inlineStr">
        <is>
          <t>2026-02-01</t>
        </is>
      </c>
      <c r="D7" s="4" t="inlineStr">
        <is>
          <t>Income Level</t>
        </is>
      </c>
      <c r="E7" s="5" t="inlineStr">
        <is>
          <t>All</t>
        </is>
      </c>
    </row>
    <row r="8">
      <c r="A8" s="4" t="inlineStr">
        <is>
          <t>End Date *</t>
        </is>
      </c>
      <c r="B8" s="5" t="inlineStr">
        <is>
          <t>2026-02-28</t>
        </is>
      </c>
      <c r="D8" s="4" t="inlineStr">
        <is>
          <t>Interest</t>
        </is>
      </c>
      <c r="E8" s="5" t="inlineStr">
        <is>
          <t>All</t>
        </is>
      </c>
    </row>
    <row r="9">
      <c r="A9" s="4" t="inlineStr">
        <is>
          <t>Budget *</t>
        </is>
      </c>
      <c r="B9" s="7" t="n">
        <v>100000</v>
      </c>
      <c r="C9">
        <f>C5</f>
        <v/>
      </c>
      <c r="D9" s="4" t="inlineStr">
        <is>
          <t>Behavior</t>
        </is>
      </c>
      <c r="E9" s="5" t="inlineStr">
        <is>
          <t>All</t>
        </is>
      </c>
    </row>
    <row r="10">
      <c r="A10" s="4" t="inlineStr">
        <is>
          <t>Goal Type *</t>
        </is>
      </c>
      <c r="B10" s="5" t="inlineStr">
        <is>
          <t>Impressions</t>
        </is>
      </c>
    </row>
    <row r="11">
      <c r="A11" s="4" t="inlineStr">
        <is>
          <t>Goal Value</t>
        </is>
      </c>
      <c r="B11" s="7" t="n">
        <v>1000000</v>
      </c>
      <c r="D11" s="3" t="inlineStr">
        <is>
          <t>CALCULATED VALUES</t>
        </is>
      </c>
    </row>
    <row r="12">
      <c r="D12" s="4" t="inlineStr">
        <is>
          <t>Campaign Days:</t>
        </is>
      </c>
      <c r="E12">
        <f>DATEDIF(B7,B8,"D")+1</f>
        <v/>
      </c>
      <c r="F12" t="inlineStr">
        <is>
          <t>days</t>
        </is>
      </c>
    </row>
    <row r="13">
      <c r="A13" s="3" t="inlineStr">
        <is>
          <t>VENUE TARGETING</t>
        </is>
      </c>
      <c r="D13" s="4" t="inlineStr">
        <is>
          <t>Pricing Model:</t>
        </is>
      </c>
      <c r="E13">
        <f>IF(OR(B10="Impressions",B10="Reach",B10="Carbon Emission"),"CPM","CPS")</f>
        <v/>
      </c>
      <c r="F13" t="inlineStr"/>
    </row>
    <row r="14">
      <c r="A14" s="4" t="inlineStr">
        <is>
          <t>Venue Type</t>
        </is>
      </c>
      <c r="B14" s="5" t="inlineStr">
        <is>
          <t>All Venues</t>
        </is>
      </c>
      <c r="D14" s="4" t="inlineStr">
        <is>
          <t>Currency:</t>
        </is>
      </c>
      <c r="E14">
        <f>C5</f>
        <v/>
      </c>
      <c r="F14" t="inlineStr"/>
    </row>
    <row r="15">
      <c r="A15" s="4" t="inlineStr">
        <is>
          <t>Classification</t>
        </is>
      </c>
      <c r="B15" s="5" t="inlineStr">
        <is>
          <t>All</t>
        </is>
      </c>
    </row>
    <row r="16">
      <c r="A16" s="4" t="inlineStr">
        <is>
          <t>Type</t>
        </is>
      </c>
      <c r="B16" s="5" t="inlineStr">
        <is>
          <t>All</t>
        </is>
      </c>
      <c r="D16" s="3" t="inlineStr">
        <is>
          <t>BUDGET ALLOCATION (auto by goal)</t>
        </is>
      </c>
    </row>
    <row r="17">
      <c r="D17" s="8" t="inlineStr">
        <is>
          <t>Classification</t>
        </is>
      </c>
      <c r="E17" s="8" t="inlineStr">
        <is>
          <t>Allocation %</t>
        </is>
      </c>
      <c r="F17" s="8" t="inlineStr">
        <is>
          <t>Amount</t>
        </is>
      </c>
      <c r="G17" s="8" t="inlineStr">
        <is>
          <t>Rationale</t>
        </is>
      </c>
    </row>
    <row r="18">
      <c r="D18" t="inlineStr">
        <is>
          <t>Digital</t>
        </is>
      </c>
      <c r="E18" s="9">
        <f>IF(B10="Impressions",0.60,IF(B10="Reach",0.55,IF(B10="Ad Plays",0.95,IF(B10="SOV",0.95,0.20))))</f>
        <v/>
      </c>
      <c r="F18" s="10">
        <f>E18*B9</f>
        <v/>
      </c>
      <c r="G18">
        <f>IF(B10="Ad Plays","Ad plays require digital screens",IF(B10="SOV","SOV requires slot-based inventory","Balanced for goal type"))</f>
        <v/>
      </c>
    </row>
    <row r="19">
      <c r="D19" t="inlineStr">
        <is>
          <t>Classic</t>
        </is>
      </c>
      <c r="E19" s="9">
        <f>IF(B10="Impressions",0.35,IF(B10="Reach",0.40,IF(B10="Ad Plays",0,IF(B10="SOV",0,0.75))))</f>
        <v/>
      </c>
      <c r="F19" s="10">
        <f>E19*B9</f>
        <v/>
      </c>
      <c r="G19">
        <f>IF(OR(B10="Ad Plays",B10="SOV"),"Classic cannot produce plays/slots","Geographic coverage")</f>
        <v/>
      </c>
    </row>
    <row r="20">
      <c r="D20" t="inlineStr">
        <is>
          <t>Audio</t>
        </is>
      </c>
      <c r="E20" s="9">
        <f>1-E18-E19</f>
        <v/>
      </c>
      <c r="F20" s="10">
        <f>E20*B9</f>
        <v/>
      </c>
      <c r="G20" t="inlineStr">
        <is>
          <t>Remaining allocation</t>
        </is>
      </c>
    </row>
  </sheetData>
  <mergeCells count="7">
    <mergeCell ref="A4:B4"/>
    <mergeCell ref="D11:F11"/>
    <mergeCell ref="A1:G1"/>
    <mergeCell ref="D16:G16"/>
    <mergeCell ref="A13:B13"/>
    <mergeCell ref="A2:G2"/>
    <mergeCell ref="D4:E4"/>
  </mergeCells>
  <dataValidations count="11">
    <dataValidation sqref="B5" showDropDown="0" showInputMessage="0" showErrorMessage="0" allowBlank="0" type="list">
      <formula1>"Malaysia,Japan"</formula1>
    </dataValidation>
    <dataValidation sqref="B6" showDropDown="0" showInputMessage="0" showErrorMessage="0" allowBlank="0" type="list">
      <formula1>"All Cities,Kuala Lumpur,KLIA,Petaling Jaya,Penang,Johor Bahru,Ipoh,Melaka,Kuching,Kota Kinabalu,Tokyo,Osaka,Nagoya,Yokohama,Kyoto,Fukuoka"</formula1>
    </dataValidation>
    <dataValidation sqref="B10" showDropDown="0" showInputMessage="0" showErrorMessage="0" allowBlank="0" type="list">
      <formula1>"Impressions,Reach,Ad Plays,SOV,Carbon Emission"</formula1>
    </dataValidation>
    <dataValidation sqref="B14" showDropDown="0" showInputMessage="0" showErrorMessage="0" allowBlank="0" type="list">
      <formula1>"All Venues,Transit: Airport,Transit: Rail/Metro Station,Transit: Bus,Retail: Shopping Center,Retail: High Street,Billboard: Highway,Billboard: Roadside,Office Building,Audio: Radio"</formula1>
    </dataValidation>
    <dataValidation sqref="B15" showDropDown="0" showInputMessage="0" showErrorMessage="0" allowBlank="0" type="list">
      <formula1>"All,Digital,Classic,Audio"</formula1>
    </dataValidation>
    <dataValidation sqref="B16" showDropDown="0" showInputMessage="0" showErrorMessage="0" allowBlank="0" type="list">
      <formula1>"All,OOH,Transit,Retail,Network,Radio"</formula1>
    </dataValidation>
    <dataValidation sqref="E5" showDropDown="0" showInputMessage="0" showErrorMessage="0" allowBlank="0" type="list">
      <formula1>"All Ages,18-24,25-34,35-44,45-54,55+,25-44"</formula1>
    </dataValidation>
    <dataValidation sqref="E6" showDropDown="0" showInputMessage="0" showErrorMessage="0" allowBlank="0" type="list">
      <formula1>"All,Male,Female"</formula1>
    </dataValidation>
    <dataValidation sqref="E7" showDropDown="0" showInputMessage="0" showErrorMessage="0" allowBlank="0" type="list">
      <formula1>"All,Low,Middle,High,Affluent"</formula1>
    </dataValidation>
    <dataValidation sqref="E8" showDropDown="0" showInputMessage="0" showErrorMessage="0" allowBlank="0" type="list">
      <formula1>"All,Travel,Fashion,Technology,Food &amp; Beverage,Sports,Finance,Entertainment,Automotive"</formula1>
    </dataValidation>
    <dataValidation sqref="E9" showDropDown="0" showInputMessage="0" showErrorMessage="0" allowBlank="0" type="list">
      <formula1>"All,Commuters,Shoppers,Business Travelers,Tourists,Residents,Frequent Flyers"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25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</cols>
  <sheetData>
    <row r="1">
      <c r="A1" s="11" t="inlineStr">
        <is>
          <t>ID</t>
        </is>
      </c>
      <c r="B1" s="11" t="inlineStr">
        <is>
          <t>Name</t>
        </is>
      </c>
      <c r="C1" s="11" t="inlineStr">
        <is>
          <t>Country</t>
        </is>
      </c>
      <c r="D1" s="11" t="inlineStr">
        <is>
          <t>City</t>
        </is>
      </c>
      <c r="E1" s="11" t="inlineStr">
        <is>
          <t>City Tier</t>
        </is>
      </c>
      <c r="F1" s="11" t="inlineStr">
        <is>
          <t>Classification</t>
        </is>
      </c>
      <c r="G1" s="11" t="inlineStr">
        <is>
          <t>Type</t>
        </is>
      </c>
      <c r="H1" s="11" t="inlineStr">
        <is>
          <t>Format</t>
        </is>
      </c>
      <c r="I1" s="11" t="inlineStr">
        <is>
          <t>Venue Type (IAB)</t>
        </is>
      </c>
      <c r="J1" s="11" t="inlineStr">
        <is>
          <t>CPM</t>
        </is>
      </c>
      <c r="K1" s="11" t="inlineStr">
        <is>
          <t>CPS</t>
        </is>
      </c>
      <c r="L1" s="11" t="inlineStr">
        <is>
          <t>Daily Impressions</t>
        </is>
      </c>
      <c r="M1" s="11" t="inlineStr">
        <is>
          <t>Daily Reach</t>
        </is>
      </c>
      <c r="N1" s="11" t="inlineStr">
        <is>
          <t>Operating Hours</t>
        </is>
      </c>
      <c r="O1" s="11" t="inlineStr">
        <is>
          <t>Slots Per Loop</t>
        </is>
      </c>
      <c r="P1" s="11" t="inlineStr">
        <is>
          <t>Slot Duration (sec)</t>
        </is>
      </c>
      <c r="Q1" s="11" t="inlineStr">
        <is>
          <t>CO2 per Play (kg)</t>
        </is>
      </c>
      <c r="R1" s="11" t="inlineStr">
        <is>
          <t>Age 18-24</t>
        </is>
      </c>
      <c r="S1" s="11" t="inlineStr">
        <is>
          <t>Age 25-34</t>
        </is>
      </c>
      <c r="T1" s="11" t="inlineStr">
        <is>
          <t>Age 35-44</t>
        </is>
      </c>
      <c r="U1" s="11" t="inlineStr">
        <is>
          <t>Age 45-54</t>
        </is>
      </c>
      <c r="V1" s="11" t="inlineStr">
        <is>
          <t>Age 55+</t>
        </is>
      </c>
      <c r="W1" s="11" t="inlineStr">
        <is>
          <t>Male %</t>
        </is>
      </c>
      <c r="X1" s="11" t="inlineStr">
        <is>
          <t>Female %</t>
        </is>
      </c>
      <c r="Y1" s="11" t="inlineStr">
        <is>
          <t>Income Low</t>
        </is>
      </c>
      <c r="Z1" s="11" t="inlineStr">
        <is>
          <t>Income Middle</t>
        </is>
      </c>
      <c r="AA1" s="11" t="inlineStr">
        <is>
          <t>Income High</t>
        </is>
      </c>
      <c r="AB1" s="11" t="inlineStr">
        <is>
          <t>Income Affluent</t>
        </is>
      </c>
      <c r="AC1" s="11" t="inlineStr">
        <is>
          <t>Interest Travel</t>
        </is>
      </c>
      <c r="AD1" s="11" t="inlineStr">
        <is>
          <t>Interest Fashion</t>
        </is>
      </c>
      <c r="AE1" s="11" t="inlineStr">
        <is>
          <t>Interest Tech</t>
        </is>
      </c>
      <c r="AF1" s="11" t="inlineStr">
        <is>
          <t>Interest Food</t>
        </is>
      </c>
      <c r="AG1" s="11" t="inlineStr">
        <is>
          <t>Behavior Commuters</t>
        </is>
      </c>
      <c r="AH1" s="11" t="inlineStr">
        <is>
          <t>Behavior Shoppers</t>
        </is>
      </c>
      <c r="AI1" s="11" t="inlineStr">
        <is>
          <t>Behavior Business</t>
        </is>
      </c>
      <c r="AJ1" s="11" t="inlineStr">
        <is>
          <t>Behavior Tourists</t>
        </is>
      </c>
      <c r="AK1" s="11" t="inlineStr">
        <is>
          <t>Behavior Residents</t>
        </is>
      </c>
    </row>
    <row r="2">
      <c r="A2" t="inlineStr">
        <is>
          <t>MY001</t>
        </is>
      </c>
      <c r="B2" t="inlineStr">
        <is>
          <t>KLCC Suria Digital Screen</t>
        </is>
      </c>
      <c r="C2" t="inlineStr">
        <is>
          <t>Malaysia</t>
        </is>
      </c>
      <c r="D2" t="inlineStr">
        <is>
          <t>Kuala Lumpur</t>
        </is>
      </c>
      <c r="E2" t="n">
        <v>1</v>
      </c>
      <c r="F2" t="inlineStr">
        <is>
          <t>Digital</t>
        </is>
      </c>
      <c r="G2" t="inlineStr">
        <is>
          <t>Retail</t>
        </is>
      </c>
      <c r="H2" t="inlineStr">
        <is>
          <t>Mall Digital Screen</t>
        </is>
      </c>
      <c r="I2" t="inlineStr">
        <is>
          <t>Retail: Shopping Center</t>
        </is>
      </c>
      <c r="J2" t="n">
        <v>8</v>
      </c>
      <c r="K2" t="n">
        <v>3</v>
      </c>
      <c r="L2" t="n">
        <v>85000</v>
      </c>
      <c r="M2" t="n">
        <v>42000</v>
      </c>
      <c r="N2" t="n">
        <v>16</v>
      </c>
      <c r="O2" t="n">
        <v>6</v>
      </c>
      <c r="P2" t="n">
        <v>10</v>
      </c>
      <c r="Q2" t="n">
        <v>0.02</v>
      </c>
      <c r="R2" t="n">
        <v>0.25</v>
      </c>
      <c r="S2" t="n">
        <v>0.35</v>
      </c>
      <c r="T2" t="n">
        <v>0.25</v>
      </c>
      <c r="U2" t="n">
        <v>0.1</v>
      </c>
      <c r="V2" t="n">
        <v>0.05</v>
      </c>
      <c r="W2" t="n">
        <v>0.45</v>
      </c>
      <c r="X2" t="n">
        <v>0.55</v>
      </c>
      <c r="Y2" t="n">
        <v>0.15</v>
      </c>
      <c r="Z2" t="n">
        <v>0.5</v>
      </c>
      <c r="AA2" t="n">
        <v>0.3</v>
      </c>
      <c r="AB2" t="n">
        <v>0.05</v>
      </c>
      <c r="AC2" t="n">
        <v>0.4</v>
      </c>
      <c r="AD2" t="n">
        <v>0.35</v>
      </c>
      <c r="AE2" t="n">
        <v>0.2</v>
      </c>
      <c r="AF2" t="n">
        <v>0.3</v>
      </c>
      <c r="AG2" t="n">
        <v>0.15</v>
      </c>
      <c r="AH2" t="n">
        <v>0.6</v>
      </c>
      <c r="AI2" t="n">
        <v>0.1</v>
      </c>
      <c r="AJ2" t="n">
        <v>0.25</v>
      </c>
      <c r="AK2" t="n">
        <v>0.2</v>
      </c>
    </row>
    <row r="3">
      <c r="A3" t="inlineStr">
        <is>
          <t>MY002</t>
        </is>
      </c>
      <c r="B3" t="inlineStr">
        <is>
          <t>KLIA Terminal 1 Arrival</t>
        </is>
      </c>
      <c r="C3" t="inlineStr">
        <is>
          <t>Malaysia</t>
        </is>
      </c>
      <c r="D3" t="inlineStr">
        <is>
          <t>KLIA</t>
        </is>
      </c>
      <c r="E3" t="n">
        <v>1</v>
      </c>
      <c r="F3" t="inlineStr">
        <is>
          <t>Digital</t>
        </is>
      </c>
      <c r="G3" t="inlineStr">
        <is>
          <t>Transit</t>
        </is>
      </c>
      <c r="H3" t="inlineStr">
        <is>
          <t>Airport Digital</t>
        </is>
      </c>
      <c r="I3" t="inlineStr">
        <is>
          <t>Transit: Airport</t>
        </is>
      </c>
      <c r="J3" t="n">
        <v>12</v>
      </c>
      <c r="K3" t="n">
        <v>4</v>
      </c>
      <c r="L3" t="n">
        <v>120000</v>
      </c>
      <c r="M3" t="n">
        <v>95000</v>
      </c>
      <c r="N3" t="n">
        <v>20</v>
      </c>
      <c r="O3" t="n">
        <v>4</v>
      </c>
      <c r="P3" t="n">
        <v>15</v>
      </c>
      <c r="Q3" t="n">
        <v>0.03</v>
      </c>
      <c r="R3" t="n">
        <v>0.2</v>
      </c>
      <c r="S3" t="n">
        <v>0.3</v>
      </c>
      <c r="T3" t="n">
        <v>0.3</v>
      </c>
      <c r="U3" t="n">
        <v>0.15</v>
      </c>
      <c r="V3" t="n">
        <v>0.05</v>
      </c>
      <c r="W3" t="n">
        <v>0.55</v>
      </c>
      <c r="X3" t="n">
        <v>0.45</v>
      </c>
      <c r="Y3" t="n">
        <v>0.1</v>
      </c>
      <c r="Z3" t="n">
        <v>0.35</v>
      </c>
      <c r="AA3" t="n">
        <v>0.45</v>
      </c>
      <c r="AB3" t="n">
        <v>0.1</v>
      </c>
      <c r="AC3" t="n">
        <v>0.7</v>
      </c>
      <c r="AD3" t="n">
        <v>0.2</v>
      </c>
      <c r="AE3" t="n">
        <v>0.15</v>
      </c>
      <c r="AF3" t="n">
        <v>0.2</v>
      </c>
      <c r="AG3" t="n">
        <v>0.05</v>
      </c>
      <c r="AH3" t="n">
        <v>0.15</v>
      </c>
      <c r="AI3" t="n">
        <v>0.4</v>
      </c>
      <c r="AJ3" t="n">
        <v>0.8</v>
      </c>
      <c r="AK3" t="n">
        <v>0.05</v>
      </c>
    </row>
    <row r="4">
      <c r="A4" t="inlineStr">
        <is>
          <t>MY003</t>
        </is>
      </c>
      <c r="B4" t="inlineStr">
        <is>
          <t>Federal Highway Billboard</t>
        </is>
      </c>
      <c r="C4" t="inlineStr">
        <is>
          <t>Malaysia</t>
        </is>
      </c>
      <c r="D4" t="inlineStr">
        <is>
          <t>Petaling Jaya</t>
        </is>
      </c>
      <c r="E4" t="n">
        <v>2</v>
      </c>
      <c r="F4" t="inlineStr">
        <is>
          <t>Digital</t>
        </is>
      </c>
      <c r="G4" t="inlineStr">
        <is>
          <t>OOH</t>
        </is>
      </c>
      <c r="H4" t="inlineStr">
        <is>
          <t>Digital Billboard</t>
        </is>
      </c>
      <c r="I4" t="inlineStr">
        <is>
          <t>Billboard: Highway</t>
        </is>
      </c>
      <c r="J4" t="n">
        <v>5</v>
      </c>
      <c r="K4" t="n">
        <v>2</v>
      </c>
      <c r="L4" t="n">
        <v>150000</v>
      </c>
      <c r="M4" t="n">
        <v>120000</v>
      </c>
      <c r="N4" t="n">
        <v>18</v>
      </c>
      <c r="O4" t="n">
        <v>4</v>
      </c>
      <c r="P4" t="n">
        <v>15</v>
      </c>
      <c r="Q4" t="n">
        <v>0.04</v>
      </c>
      <c r="R4" t="n">
        <v>0.2</v>
      </c>
      <c r="S4" t="n">
        <v>0.35</v>
      </c>
      <c r="T4" t="n">
        <v>0.3</v>
      </c>
      <c r="U4" t="n">
        <v>0.1</v>
      </c>
      <c r="V4" t="n">
        <v>0.05</v>
      </c>
      <c r="W4" t="n">
        <v>0.6</v>
      </c>
      <c r="X4" t="n">
        <v>0.4</v>
      </c>
      <c r="Y4" t="n">
        <v>0.2</v>
      </c>
      <c r="Z4" t="n">
        <v>0.5</v>
      </c>
      <c r="AA4" t="n">
        <v>0.25</v>
      </c>
      <c r="AB4" t="n">
        <v>0.05</v>
      </c>
      <c r="AC4" t="n">
        <v>0.3</v>
      </c>
      <c r="AD4" t="n">
        <v>0.25</v>
      </c>
      <c r="AE4" t="n">
        <v>0.25</v>
      </c>
      <c r="AF4" t="n">
        <v>0.25</v>
      </c>
      <c r="AG4" t="n">
        <v>0.7</v>
      </c>
      <c r="AH4" t="n">
        <v>0.1</v>
      </c>
      <c r="AI4" t="n">
        <v>0.3</v>
      </c>
      <c r="AJ4" t="n">
        <v>0.05</v>
      </c>
      <c r="AK4" t="n">
        <v>0.4</v>
      </c>
    </row>
    <row r="5">
      <c r="A5" t="inlineStr">
        <is>
          <t>MY004</t>
        </is>
      </c>
      <c r="B5" t="inlineStr">
        <is>
          <t>Pavilion KL Entrance</t>
        </is>
      </c>
      <c r="C5" t="inlineStr">
        <is>
          <t>Malaysia</t>
        </is>
      </c>
      <c r="D5" t="inlineStr">
        <is>
          <t>Kuala Lumpur</t>
        </is>
      </c>
      <c r="E5" t="n">
        <v>1</v>
      </c>
      <c r="F5" t="inlineStr">
        <is>
          <t>Digital</t>
        </is>
      </c>
      <c r="G5" t="inlineStr">
        <is>
          <t>Retail</t>
        </is>
      </c>
      <c r="H5" t="inlineStr">
        <is>
          <t>Mall Digital Screen</t>
        </is>
      </c>
      <c r="I5" t="inlineStr">
        <is>
          <t>Retail: Shopping Center</t>
        </is>
      </c>
      <c r="J5" t="n">
        <v>9</v>
      </c>
      <c r="K5" t="n">
        <v>3</v>
      </c>
      <c r="L5" t="n">
        <v>95000</v>
      </c>
      <c r="M5" t="n">
        <v>48000</v>
      </c>
      <c r="N5" t="n">
        <v>14</v>
      </c>
      <c r="O5" t="n">
        <v>6</v>
      </c>
      <c r="P5" t="n">
        <v>10</v>
      </c>
      <c r="Q5" t="n">
        <v>0.02</v>
      </c>
      <c r="R5" t="n">
        <v>0.3</v>
      </c>
      <c r="S5" t="n">
        <v>0.35</v>
      </c>
      <c r="T5" t="n">
        <v>0.2</v>
      </c>
      <c r="U5" t="n">
        <v>0.1</v>
      </c>
      <c r="V5" t="n">
        <v>0.05</v>
      </c>
      <c r="W5" t="n">
        <v>0.4</v>
      </c>
      <c r="X5" t="n">
        <v>0.6</v>
      </c>
      <c r="Y5" t="n">
        <v>0.1</v>
      </c>
      <c r="Z5" t="n">
        <v>0.4</v>
      </c>
      <c r="AA5" t="n">
        <v>0.4</v>
      </c>
      <c r="AB5" t="n">
        <v>0.1</v>
      </c>
      <c r="AC5" t="n">
        <v>0.35</v>
      </c>
      <c r="AD5" t="n">
        <v>0.5</v>
      </c>
      <c r="AE5" t="n">
        <v>0.2</v>
      </c>
      <c r="AF5" t="n">
        <v>0.35</v>
      </c>
      <c r="AG5" t="n">
        <v>0.1</v>
      </c>
      <c r="AH5" t="n">
        <v>0.7</v>
      </c>
      <c r="AI5" t="n">
        <v>0.15</v>
      </c>
      <c r="AJ5" t="n">
        <v>0.2</v>
      </c>
      <c r="AK5" t="n">
        <v>0.15</v>
      </c>
    </row>
    <row r="6">
      <c r="A6" t="inlineStr">
        <is>
          <t>MY005</t>
        </is>
      </c>
      <c r="B6" t="inlineStr">
        <is>
          <t>KL Sentral LRT Station</t>
        </is>
      </c>
      <c r="C6" t="inlineStr">
        <is>
          <t>Malaysia</t>
        </is>
      </c>
      <c r="D6" t="inlineStr">
        <is>
          <t>Kuala Lumpur</t>
        </is>
      </c>
      <c r="E6" t="n">
        <v>1</v>
      </c>
      <c r="F6" t="inlineStr">
        <is>
          <t>Digital</t>
        </is>
      </c>
      <c r="G6" t="inlineStr">
        <is>
          <t>Transit</t>
        </is>
      </c>
      <c r="H6" t="inlineStr">
        <is>
          <t>Station Digital</t>
        </is>
      </c>
      <c r="I6" t="inlineStr">
        <is>
          <t>Transit: Rail/Metro Station</t>
        </is>
      </c>
      <c r="J6" t="n">
        <v>6</v>
      </c>
      <c r="K6" t="n">
        <v>2</v>
      </c>
      <c r="L6" t="n">
        <v>180000</v>
      </c>
      <c r="M6" t="n">
        <v>85000</v>
      </c>
      <c r="N6" t="n">
        <v>18</v>
      </c>
      <c r="O6" t="n">
        <v>6</v>
      </c>
      <c r="P6" t="n">
        <v>10</v>
      </c>
      <c r="Q6" t="n">
        <v>0.025</v>
      </c>
      <c r="R6" t="n">
        <v>0.25</v>
      </c>
      <c r="S6" t="n">
        <v>0.4</v>
      </c>
      <c r="T6" t="n">
        <v>0.25</v>
      </c>
      <c r="U6" t="n">
        <v>0.08</v>
      </c>
      <c r="V6" t="n">
        <v>0.02</v>
      </c>
      <c r="W6" t="n">
        <v>0.52</v>
      </c>
      <c r="X6" t="n">
        <v>0.48</v>
      </c>
      <c r="Y6" t="n">
        <v>0.25</v>
      </c>
      <c r="Z6" t="n">
        <v>0.55</v>
      </c>
      <c r="AA6" t="n">
        <v>0.18</v>
      </c>
      <c r="AB6" t="n">
        <v>0.02</v>
      </c>
      <c r="AC6" t="n">
        <v>0.35</v>
      </c>
      <c r="AD6" t="n">
        <v>0.2</v>
      </c>
      <c r="AE6" t="n">
        <v>0.3</v>
      </c>
      <c r="AF6" t="n">
        <v>0.25</v>
      </c>
      <c r="AG6" t="n">
        <v>0.8</v>
      </c>
      <c r="AH6" t="n">
        <v>0.05</v>
      </c>
      <c r="AI6" t="n">
        <v>0.35</v>
      </c>
      <c r="AJ6" t="n">
        <v>0.1</v>
      </c>
      <c r="AK6" t="n">
        <v>0.3</v>
      </c>
    </row>
    <row r="7">
      <c r="A7" t="inlineStr">
        <is>
          <t>MY006</t>
        </is>
      </c>
      <c r="B7" t="inlineStr">
        <is>
          <t>Menara KEN Office Lobby</t>
        </is>
      </c>
      <c r="C7" t="inlineStr">
        <is>
          <t>Malaysia</t>
        </is>
      </c>
      <c r="D7" t="inlineStr">
        <is>
          <t>Kuala Lumpur</t>
        </is>
      </c>
      <c r="E7" t="n">
        <v>1</v>
      </c>
      <c r="F7" t="inlineStr">
        <is>
          <t>Digital</t>
        </is>
      </c>
      <c r="G7" t="inlineStr">
        <is>
          <t>Network</t>
        </is>
      </c>
      <c r="H7" t="inlineStr">
        <is>
          <t>Office Lobby Network</t>
        </is>
      </c>
      <c r="I7" t="inlineStr">
        <is>
          <t>Office Building</t>
        </is>
      </c>
      <c r="J7" t="n">
        <v>5</v>
      </c>
      <c r="K7" t="n">
        <v>1.5</v>
      </c>
      <c r="L7" t="n">
        <v>25000</v>
      </c>
      <c r="M7" t="n">
        <v>8000</v>
      </c>
      <c r="N7" t="n">
        <v>12</v>
      </c>
      <c r="O7" t="n">
        <v>4</v>
      </c>
      <c r="P7" t="n">
        <v>10</v>
      </c>
      <c r="Q7" t="n">
        <v>0.015</v>
      </c>
      <c r="R7" t="n">
        <v>0.15</v>
      </c>
      <c r="S7" t="n">
        <v>0.45</v>
      </c>
      <c r="T7" t="n">
        <v>0.3</v>
      </c>
      <c r="U7" t="n">
        <v>0.08</v>
      </c>
      <c r="V7" t="n">
        <v>0.02</v>
      </c>
      <c r="W7" t="n">
        <v>0.55</v>
      </c>
      <c r="X7" t="n">
        <v>0.45</v>
      </c>
      <c r="Y7" t="n">
        <v>0.05</v>
      </c>
      <c r="Z7" t="n">
        <v>0.4</v>
      </c>
      <c r="AA7" t="n">
        <v>0.45</v>
      </c>
      <c r="AB7" t="n">
        <v>0.1</v>
      </c>
      <c r="AC7" t="n">
        <v>0.25</v>
      </c>
      <c r="AD7" t="n">
        <v>0.3</v>
      </c>
      <c r="AE7" t="n">
        <v>0.5</v>
      </c>
      <c r="AF7" t="n">
        <v>0.2</v>
      </c>
      <c r="AG7" t="n">
        <v>0.1</v>
      </c>
      <c r="AH7" t="n">
        <v>0.05</v>
      </c>
      <c r="AI7" t="n">
        <v>0.9</v>
      </c>
      <c r="AJ7" t="n">
        <v>0.02</v>
      </c>
      <c r="AK7" t="n">
        <v>0.05</v>
      </c>
    </row>
    <row r="8">
      <c r="A8" t="inlineStr">
        <is>
          <t>MY007</t>
        </is>
      </c>
      <c r="B8" t="inlineStr">
        <is>
          <t>Bangsar LRT Station</t>
        </is>
      </c>
      <c r="C8" t="inlineStr">
        <is>
          <t>Malaysia</t>
        </is>
      </c>
      <c r="D8" t="inlineStr">
        <is>
          <t>Kuala Lumpur</t>
        </is>
      </c>
      <c r="E8" t="n">
        <v>1</v>
      </c>
      <c r="F8" t="inlineStr">
        <is>
          <t>Digital</t>
        </is>
      </c>
      <c r="G8" t="inlineStr">
        <is>
          <t>Transit</t>
        </is>
      </c>
      <c r="H8" t="inlineStr">
        <is>
          <t>Station Digital</t>
        </is>
      </c>
      <c r="I8" t="inlineStr">
        <is>
          <t>Transit: Rail/Metro Station</t>
        </is>
      </c>
      <c r="J8" t="n">
        <v>6</v>
      </c>
      <c r="K8" t="n">
        <v>2</v>
      </c>
      <c r="L8" t="n">
        <v>65000</v>
      </c>
      <c r="M8" t="n">
        <v>32000</v>
      </c>
      <c r="N8" t="n">
        <v>16</v>
      </c>
      <c r="O8" t="n">
        <v>6</v>
      </c>
      <c r="P8" t="n">
        <v>10</v>
      </c>
      <c r="Q8" t="n">
        <v>0.02</v>
      </c>
      <c r="R8" t="n">
        <v>0.3</v>
      </c>
      <c r="S8" t="n">
        <v>0.4</v>
      </c>
      <c r="T8" t="n">
        <v>0.2</v>
      </c>
      <c r="U8" t="n">
        <v>0.07000000000000001</v>
      </c>
      <c r="V8" t="n">
        <v>0.03</v>
      </c>
      <c r="W8" t="n">
        <v>0.48</v>
      </c>
      <c r="X8" t="n">
        <v>0.52</v>
      </c>
      <c r="Y8" t="n">
        <v>0.15</v>
      </c>
      <c r="Z8" t="n">
        <v>0.55</v>
      </c>
      <c r="AA8" t="n">
        <v>0.25</v>
      </c>
      <c r="AB8" t="n">
        <v>0.05</v>
      </c>
      <c r="AC8" t="n">
        <v>0.4</v>
      </c>
      <c r="AD8" t="n">
        <v>0.35</v>
      </c>
      <c r="AE8" t="n">
        <v>0.25</v>
      </c>
      <c r="AF8" t="n">
        <v>0.35</v>
      </c>
      <c r="AG8" t="n">
        <v>0.75</v>
      </c>
      <c r="AH8" t="n">
        <v>0.15</v>
      </c>
      <c r="AI8" t="n">
        <v>0.2</v>
      </c>
      <c r="AJ8" t="n">
        <v>0.08</v>
      </c>
      <c r="AK8" t="n">
        <v>0.25</v>
      </c>
    </row>
    <row r="9">
      <c r="A9" t="inlineStr">
        <is>
          <t>MY008</t>
        </is>
      </c>
      <c r="B9" t="inlineStr">
        <is>
          <t>Jalan Bukit Bintang LED</t>
        </is>
      </c>
      <c r="C9" t="inlineStr">
        <is>
          <t>Malaysia</t>
        </is>
      </c>
      <c r="D9" t="inlineStr">
        <is>
          <t>Kuala Lumpur</t>
        </is>
      </c>
      <c r="E9" t="n">
        <v>1</v>
      </c>
      <c r="F9" t="inlineStr">
        <is>
          <t>Digital</t>
        </is>
      </c>
      <c r="G9" t="inlineStr">
        <is>
          <t>OOH</t>
        </is>
      </c>
      <c r="H9" t="inlineStr">
        <is>
          <t>LED Screen</t>
        </is>
      </c>
      <c r="I9" t="inlineStr">
        <is>
          <t>Billboard: Roadside</t>
        </is>
      </c>
      <c r="J9" t="n">
        <v>10</v>
      </c>
      <c r="K9" t="n">
        <v>3.5</v>
      </c>
      <c r="L9" t="n">
        <v>200000</v>
      </c>
      <c r="M9" t="n">
        <v>150000</v>
      </c>
      <c r="N9" t="n">
        <v>24</v>
      </c>
      <c r="O9" t="n">
        <v>4</v>
      </c>
      <c r="P9" t="n">
        <v>15</v>
      </c>
      <c r="Q9" t="n">
        <v>0.05</v>
      </c>
      <c r="R9" t="n">
        <v>0.3</v>
      </c>
      <c r="S9" t="n">
        <v>0.35</v>
      </c>
      <c r="T9" t="n">
        <v>0.2</v>
      </c>
      <c r="U9" t="n">
        <v>0.1</v>
      </c>
      <c r="V9" t="n">
        <v>0.05</v>
      </c>
      <c r="W9" t="n">
        <v>0.5</v>
      </c>
      <c r="X9" t="n">
        <v>0.5</v>
      </c>
      <c r="Y9" t="n">
        <v>0.2</v>
      </c>
      <c r="Z9" t="n">
        <v>0.45</v>
      </c>
      <c r="AA9" t="n">
        <v>0.3</v>
      </c>
      <c r="AB9" t="n">
        <v>0.05</v>
      </c>
      <c r="AC9" t="n">
        <v>0.45</v>
      </c>
      <c r="AD9" t="n">
        <v>0.4</v>
      </c>
      <c r="AE9" t="n">
        <v>0.25</v>
      </c>
      <c r="AF9" t="n">
        <v>0.4</v>
      </c>
      <c r="AG9" t="n">
        <v>0.3</v>
      </c>
      <c r="AH9" t="n">
        <v>0.5</v>
      </c>
      <c r="AI9" t="n">
        <v>0.15</v>
      </c>
      <c r="AJ9" t="n">
        <v>0.4</v>
      </c>
      <c r="AK9" t="n">
        <v>0.15</v>
      </c>
    </row>
    <row r="10">
      <c r="A10" t="inlineStr">
        <is>
          <t>MY009</t>
        </is>
      </c>
      <c r="B10" t="inlineStr">
        <is>
          <t>Penang Gurney Plaza</t>
        </is>
      </c>
      <c r="C10" t="inlineStr">
        <is>
          <t>Malaysia</t>
        </is>
      </c>
      <c r="D10" t="inlineStr">
        <is>
          <t>Penang</t>
        </is>
      </c>
      <c r="E10" t="n">
        <v>2</v>
      </c>
      <c r="F10" t="inlineStr">
        <is>
          <t>Digital</t>
        </is>
      </c>
      <c r="G10" t="inlineStr">
        <is>
          <t>Retail</t>
        </is>
      </c>
      <c r="H10" t="inlineStr">
        <is>
          <t>Mall Digital Screen</t>
        </is>
      </c>
      <c r="I10" t="inlineStr">
        <is>
          <t>Retail: Shopping Center</t>
        </is>
      </c>
      <c r="J10" t="n">
        <v>7</v>
      </c>
      <c r="K10" t="n">
        <v>2.5</v>
      </c>
      <c r="L10" t="n">
        <v>55000</v>
      </c>
      <c r="M10" t="n">
        <v>28000</v>
      </c>
      <c r="N10" t="n">
        <v>14</v>
      </c>
      <c r="O10" t="n">
        <v>6</v>
      </c>
      <c r="P10" t="n">
        <v>10</v>
      </c>
      <c r="Q10" t="n">
        <v>0.02</v>
      </c>
      <c r="R10" t="n">
        <v>0.25</v>
      </c>
      <c r="S10" t="n">
        <v>0.3</v>
      </c>
      <c r="T10" t="n">
        <v>0.25</v>
      </c>
      <c r="U10" t="n">
        <v>0.12</v>
      </c>
      <c r="V10" t="n">
        <v>0.08</v>
      </c>
      <c r="W10" t="n">
        <v>0.45</v>
      </c>
      <c r="X10" t="n">
        <v>0.55</v>
      </c>
      <c r="Y10" t="n">
        <v>0.2</v>
      </c>
      <c r="Z10" t="n">
        <v>0.55</v>
      </c>
      <c r="AA10" t="n">
        <v>0.22</v>
      </c>
      <c r="AB10" t="n">
        <v>0.03</v>
      </c>
      <c r="AC10" t="n">
        <v>0.35</v>
      </c>
      <c r="AD10" t="n">
        <v>0.3</v>
      </c>
      <c r="AE10" t="n">
        <v>0.2</v>
      </c>
      <c r="AF10" t="n">
        <v>0.35</v>
      </c>
      <c r="AG10" t="n">
        <v>0.2</v>
      </c>
      <c r="AH10" t="n">
        <v>0.65</v>
      </c>
      <c r="AI10" t="n">
        <v>0.1</v>
      </c>
      <c r="AJ10" t="n">
        <v>0.15</v>
      </c>
      <c r="AK10" t="n">
        <v>0.25</v>
      </c>
    </row>
    <row r="11">
      <c r="A11" t="inlineStr">
        <is>
          <t>MY010</t>
        </is>
      </c>
      <c r="B11" t="inlineStr">
        <is>
          <t>Johor Bahru City Square</t>
        </is>
      </c>
      <c r="C11" t="inlineStr">
        <is>
          <t>Malaysia</t>
        </is>
      </c>
      <c r="D11" t="inlineStr">
        <is>
          <t>Johor Bahru</t>
        </is>
      </c>
      <c r="E11" t="n">
        <v>2</v>
      </c>
      <c r="F11" t="inlineStr">
        <is>
          <t>Digital</t>
        </is>
      </c>
      <c r="G11" t="inlineStr">
        <is>
          <t>Retail</t>
        </is>
      </c>
      <c r="H11" t="inlineStr">
        <is>
          <t>Mall Digital Screen</t>
        </is>
      </c>
      <c r="I11" t="inlineStr">
        <is>
          <t>Retail: Shopping Center</t>
        </is>
      </c>
      <c r="J11" t="n">
        <v>6</v>
      </c>
      <c r="K11" t="n">
        <v>2</v>
      </c>
      <c r="L11" t="n">
        <v>45000</v>
      </c>
      <c r="M11" t="n">
        <v>22000</v>
      </c>
      <c r="N11" t="n">
        <v>12</v>
      </c>
      <c r="O11" t="n">
        <v>6</v>
      </c>
      <c r="P11" t="n">
        <v>10</v>
      </c>
      <c r="Q11" t="n">
        <v>0.018</v>
      </c>
      <c r="R11" t="n">
        <v>0.3</v>
      </c>
      <c r="S11" t="n">
        <v>0.35</v>
      </c>
      <c r="T11" t="n">
        <v>0.2</v>
      </c>
      <c r="U11" t="n">
        <v>0.1</v>
      </c>
      <c r="V11" t="n">
        <v>0.05</v>
      </c>
      <c r="W11" t="n">
        <v>0.48</v>
      </c>
      <c r="X11" t="n">
        <v>0.52</v>
      </c>
      <c r="Y11" t="n">
        <v>0.25</v>
      </c>
      <c r="Z11" t="n">
        <v>0.55</v>
      </c>
      <c r="AA11" t="n">
        <v>0.18</v>
      </c>
      <c r="AB11" t="n">
        <v>0.02</v>
      </c>
      <c r="AC11" t="n">
        <v>0.3</v>
      </c>
      <c r="AD11" t="n">
        <v>0.25</v>
      </c>
      <c r="AE11" t="n">
        <v>0.2</v>
      </c>
      <c r="AF11" t="n">
        <v>0.3</v>
      </c>
      <c r="AG11" t="n">
        <v>0.25</v>
      </c>
      <c r="AH11" t="n">
        <v>0.6</v>
      </c>
      <c r="AI11" t="n">
        <v>0.1</v>
      </c>
      <c r="AJ11" t="n">
        <v>0.2</v>
      </c>
      <c r="AK11" t="n">
        <v>0.3</v>
      </c>
    </row>
    <row r="12">
      <c r="A12" t="inlineStr">
        <is>
          <t>MY011</t>
        </is>
      </c>
      <c r="B12" t="inlineStr">
        <is>
          <t>Kota Kinabalu Airport</t>
        </is>
      </c>
      <c r="C12" t="inlineStr">
        <is>
          <t>Malaysia</t>
        </is>
      </c>
      <c r="D12" t="inlineStr">
        <is>
          <t>Kota Kinabalu</t>
        </is>
      </c>
      <c r="E12" t="n">
        <v>2</v>
      </c>
      <c r="F12" t="inlineStr">
        <is>
          <t>Digital</t>
        </is>
      </c>
      <c r="G12" t="inlineStr">
        <is>
          <t>Transit</t>
        </is>
      </c>
      <c r="H12" t="inlineStr">
        <is>
          <t>Airport Digital</t>
        </is>
      </c>
      <c r="I12" t="inlineStr">
        <is>
          <t>Transit: Airport</t>
        </is>
      </c>
      <c r="J12" t="n">
        <v>8</v>
      </c>
      <c r="K12" t="n">
        <v>3</v>
      </c>
      <c r="L12" t="n">
        <v>35000</v>
      </c>
      <c r="M12" t="n">
        <v>28000</v>
      </c>
      <c r="N12" t="n">
        <v>16</v>
      </c>
      <c r="O12" t="n">
        <v>4</v>
      </c>
      <c r="P12" t="n">
        <v>15</v>
      </c>
      <c r="Q12" t="n">
        <v>0.025</v>
      </c>
      <c r="R12" t="n">
        <v>0.25</v>
      </c>
      <c r="S12" t="n">
        <v>0.35</v>
      </c>
      <c r="T12" t="n">
        <v>0.25</v>
      </c>
      <c r="U12" t="n">
        <v>0.1</v>
      </c>
      <c r="V12" t="n">
        <v>0.05</v>
      </c>
      <c r="W12" t="n">
        <v>0.52</v>
      </c>
      <c r="X12" t="n">
        <v>0.48</v>
      </c>
      <c r="Y12" t="n">
        <v>0.15</v>
      </c>
      <c r="Z12" t="n">
        <v>0.45</v>
      </c>
      <c r="AA12" t="n">
        <v>0.35</v>
      </c>
      <c r="AB12" t="n">
        <v>0.05</v>
      </c>
      <c r="AC12" t="n">
        <v>0.6</v>
      </c>
      <c r="AD12" t="n">
        <v>0.2</v>
      </c>
      <c r="AE12" t="n">
        <v>0.15</v>
      </c>
      <c r="AF12" t="n">
        <v>0.25</v>
      </c>
      <c r="AG12" t="n">
        <v>0.1</v>
      </c>
      <c r="AH12" t="n">
        <v>0.15</v>
      </c>
      <c r="AI12" t="n">
        <v>0.35</v>
      </c>
      <c r="AJ12" t="n">
        <v>0.7</v>
      </c>
      <c r="AK12" t="n">
        <v>0.1</v>
      </c>
    </row>
    <row r="13">
      <c r="A13" t="inlineStr">
        <is>
          <t>MY012</t>
        </is>
      </c>
      <c r="B13" t="inlineStr">
        <is>
          <t>Sprint Highway Billboard</t>
        </is>
      </c>
      <c r="C13" t="inlineStr">
        <is>
          <t>Malaysia</t>
        </is>
      </c>
      <c r="D13" t="inlineStr">
        <is>
          <t>Petaling Jaya</t>
        </is>
      </c>
      <c r="E13" t="n">
        <v>2</v>
      </c>
      <c r="F13" t="inlineStr">
        <is>
          <t>Classic</t>
        </is>
      </c>
      <c r="G13" t="inlineStr">
        <is>
          <t>OOH</t>
        </is>
      </c>
      <c r="H13" t="inlineStr">
        <is>
          <t>Bulletin</t>
        </is>
      </c>
      <c r="I13" t="inlineStr">
        <is>
          <t>Billboard: Highway</t>
        </is>
      </c>
      <c r="J13" t="n">
        <v>4</v>
      </c>
      <c r="K13" t="n">
        <v>0</v>
      </c>
      <c r="L13" t="n">
        <v>130000</v>
      </c>
      <c r="M13" t="n">
        <v>105000</v>
      </c>
      <c r="N13" t="n">
        <v>24</v>
      </c>
      <c r="O13" t="n">
        <v>0</v>
      </c>
      <c r="P13" t="n">
        <v>0</v>
      </c>
      <c r="Q13" t="n">
        <v>0</v>
      </c>
      <c r="R13" t="n">
        <v>0.2</v>
      </c>
      <c r="S13" t="n">
        <v>0.35</v>
      </c>
      <c r="T13" t="n">
        <v>0.3</v>
      </c>
      <c r="U13" t="n">
        <v>0.1</v>
      </c>
      <c r="V13" t="n">
        <v>0.05</v>
      </c>
      <c r="W13" t="n">
        <v>0.6</v>
      </c>
      <c r="X13" t="n">
        <v>0.4</v>
      </c>
      <c r="Y13" t="n">
        <v>0.25</v>
      </c>
      <c r="Z13" t="n">
        <v>0.5</v>
      </c>
      <c r="AA13" t="n">
        <v>0.22</v>
      </c>
      <c r="AB13" t="n">
        <v>0.03</v>
      </c>
      <c r="AC13" t="n">
        <v>0.25</v>
      </c>
      <c r="AD13" t="n">
        <v>0.2</v>
      </c>
      <c r="AE13" t="n">
        <v>0.25</v>
      </c>
      <c r="AF13" t="n">
        <v>0.25</v>
      </c>
      <c r="AG13" t="n">
        <v>0.7</v>
      </c>
      <c r="AH13" t="n">
        <v>0.1</v>
      </c>
      <c r="AI13" t="n">
        <v>0.25</v>
      </c>
      <c r="AJ13" t="n">
        <v>0.05</v>
      </c>
      <c r="AK13" t="n">
        <v>0.35</v>
      </c>
    </row>
    <row r="14">
      <c r="A14" t="inlineStr">
        <is>
          <t>MY013</t>
        </is>
      </c>
      <c r="B14" t="inlineStr">
        <is>
          <t>LDP Highway 48 Sheet</t>
        </is>
      </c>
      <c r="C14" t="inlineStr">
        <is>
          <t>Malaysia</t>
        </is>
      </c>
      <c r="D14" t="inlineStr">
        <is>
          <t>Petaling Jaya</t>
        </is>
      </c>
      <c r="E14" t="n">
        <v>2</v>
      </c>
      <c r="F14" t="inlineStr">
        <is>
          <t>Classic</t>
        </is>
      </c>
      <c r="G14" t="inlineStr">
        <is>
          <t>OOH</t>
        </is>
      </c>
      <c r="H14" t="inlineStr">
        <is>
          <t>48 Sheet</t>
        </is>
      </c>
      <c r="I14" t="inlineStr">
        <is>
          <t>Billboard: Highway</t>
        </is>
      </c>
      <c r="J14" t="n">
        <v>3</v>
      </c>
      <c r="K14" t="n">
        <v>0</v>
      </c>
      <c r="L14" t="n">
        <v>95000</v>
      </c>
      <c r="M14" t="n">
        <v>80000</v>
      </c>
      <c r="N14" t="n">
        <v>24</v>
      </c>
      <c r="O14" t="n">
        <v>0</v>
      </c>
      <c r="P14" t="n">
        <v>0</v>
      </c>
      <c r="Q14" t="n">
        <v>0</v>
      </c>
      <c r="R14" t="n">
        <v>0.22</v>
      </c>
      <c r="S14" t="n">
        <v>0.35</v>
      </c>
      <c r="T14" t="n">
        <v>0.28</v>
      </c>
      <c r="U14" t="n">
        <v>0.1</v>
      </c>
      <c r="V14" t="n">
        <v>0.05</v>
      </c>
      <c r="W14" t="n">
        <v>0.62</v>
      </c>
      <c r="X14" t="n">
        <v>0.38</v>
      </c>
      <c r="Y14" t="n">
        <v>0.3</v>
      </c>
      <c r="Z14" t="n">
        <v>0.5</v>
      </c>
      <c r="AA14" t="n">
        <v>0.18</v>
      </c>
      <c r="AB14" t="n">
        <v>0.02</v>
      </c>
      <c r="AC14" t="n">
        <v>0.2</v>
      </c>
      <c r="AD14" t="n">
        <v>0.18</v>
      </c>
      <c r="AE14" t="n">
        <v>0.22</v>
      </c>
      <c r="AF14" t="n">
        <v>0.22</v>
      </c>
      <c r="AG14" t="n">
        <v>0.72</v>
      </c>
      <c r="AH14" t="n">
        <v>0.08</v>
      </c>
      <c r="AI14" t="n">
        <v>0.22</v>
      </c>
      <c r="AJ14" t="n">
        <v>0.04</v>
      </c>
      <c r="AK14" t="n">
        <v>0.4</v>
      </c>
    </row>
    <row r="15">
      <c r="A15" t="inlineStr">
        <is>
          <t>MY014</t>
        </is>
      </c>
      <c r="B15" t="inlineStr">
        <is>
          <t>MRR2 Wallscape</t>
        </is>
      </c>
      <c r="C15" t="inlineStr">
        <is>
          <t>Malaysia</t>
        </is>
      </c>
      <c r="D15" t="inlineStr">
        <is>
          <t>Kuala Lumpur</t>
        </is>
      </c>
      <c r="E15" t="n">
        <v>1</v>
      </c>
      <c r="F15" t="inlineStr">
        <is>
          <t>Classic</t>
        </is>
      </c>
      <c r="G15" t="inlineStr">
        <is>
          <t>OOH</t>
        </is>
      </c>
      <c r="H15" t="inlineStr">
        <is>
          <t>Wallscape</t>
        </is>
      </c>
      <c r="I15" t="inlineStr">
        <is>
          <t>Billboard: Roadside</t>
        </is>
      </c>
      <c r="J15" t="n">
        <v>5</v>
      </c>
      <c r="K15" t="n">
        <v>0</v>
      </c>
      <c r="L15" t="n">
        <v>110000</v>
      </c>
      <c r="M15" t="n">
        <v>90000</v>
      </c>
      <c r="N15" t="n">
        <v>24</v>
      </c>
      <c r="O15" t="n">
        <v>0</v>
      </c>
      <c r="P15" t="n">
        <v>0</v>
      </c>
      <c r="Q15" t="n">
        <v>0</v>
      </c>
      <c r="R15" t="n">
        <v>0.2</v>
      </c>
      <c r="S15" t="n">
        <v>0.32</v>
      </c>
      <c r="T15" t="n">
        <v>0.3</v>
      </c>
      <c r="U15" t="n">
        <v>0.12</v>
      </c>
      <c r="V15" t="n">
        <v>0.06</v>
      </c>
      <c r="W15" t="n">
        <v>0.58</v>
      </c>
      <c r="X15" t="n">
        <v>0.42</v>
      </c>
      <c r="Y15" t="n">
        <v>0.28</v>
      </c>
      <c r="Z15" t="n">
        <v>0.48</v>
      </c>
      <c r="AA15" t="n">
        <v>0.2</v>
      </c>
      <c r="AB15" t="n">
        <v>0.04</v>
      </c>
      <c r="AC15" t="n">
        <v>0.22</v>
      </c>
      <c r="AD15" t="n">
        <v>0.2</v>
      </c>
      <c r="AE15" t="n">
        <v>0.25</v>
      </c>
      <c r="AF15" t="n">
        <v>0.28</v>
      </c>
      <c r="AG15" t="n">
        <v>0.68</v>
      </c>
      <c r="AH15" t="n">
        <v>0.12</v>
      </c>
      <c r="AI15" t="n">
        <v>0.28</v>
      </c>
      <c r="AJ15" t="n">
        <v>0.06</v>
      </c>
      <c r="AK15" t="n">
        <v>0.3</v>
      </c>
    </row>
    <row r="16">
      <c r="A16" t="inlineStr">
        <is>
          <t>MY015</t>
        </is>
      </c>
      <c r="B16" t="inlineStr">
        <is>
          <t>Rapid KL Bus Wrap</t>
        </is>
      </c>
      <c r="C16" t="inlineStr">
        <is>
          <t>Malaysia</t>
        </is>
      </c>
      <c r="D16" t="inlineStr">
        <is>
          <t>Kuala Lumpur</t>
        </is>
      </c>
      <c r="E16" t="n">
        <v>1</v>
      </c>
      <c r="F16" t="inlineStr">
        <is>
          <t>Classic</t>
        </is>
      </c>
      <c r="G16" t="inlineStr">
        <is>
          <t>Transit</t>
        </is>
      </c>
      <c r="H16" t="inlineStr">
        <is>
          <t>Bus Exterior</t>
        </is>
      </c>
      <c r="I16" t="inlineStr">
        <is>
          <t>Transit: Bus</t>
        </is>
      </c>
      <c r="J16" t="n">
        <v>3.5</v>
      </c>
      <c r="K16" t="n">
        <v>0</v>
      </c>
      <c r="L16" t="n">
        <v>75000</v>
      </c>
      <c r="M16" t="n">
        <v>60000</v>
      </c>
      <c r="N16" t="n">
        <v>16</v>
      </c>
      <c r="O16" t="n">
        <v>0</v>
      </c>
      <c r="P16" t="n">
        <v>0</v>
      </c>
      <c r="Q16" t="n">
        <v>0</v>
      </c>
      <c r="R16" t="n">
        <v>0.28</v>
      </c>
      <c r="S16" t="n">
        <v>0.38</v>
      </c>
      <c r="T16" t="n">
        <v>0.22</v>
      </c>
      <c r="U16" t="n">
        <v>0.08</v>
      </c>
      <c r="V16" t="n">
        <v>0.04</v>
      </c>
      <c r="W16" t="n">
        <v>0.5</v>
      </c>
      <c r="X16" t="n">
        <v>0.5</v>
      </c>
      <c r="Y16" t="n">
        <v>0.35</v>
      </c>
      <c r="Z16" t="n">
        <v>0.5</v>
      </c>
      <c r="AA16" t="n">
        <v>0.13</v>
      </c>
      <c r="AB16" t="n">
        <v>0.02</v>
      </c>
      <c r="AC16" t="n">
        <v>0.25</v>
      </c>
      <c r="AD16" t="n">
        <v>0.22</v>
      </c>
      <c r="AE16" t="n">
        <v>0.2</v>
      </c>
      <c r="AF16" t="n">
        <v>0.28</v>
      </c>
      <c r="AG16" t="n">
        <v>0.65</v>
      </c>
      <c r="AH16" t="n">
        <v>0.25</v>
      </c>
      <c r="AI16" t="n">
        <v>0.15</v>
      </c>
      <c r="AJ16" t="n">
        <v>0.1</v>
      </c>
      <c r="AK16" t="n">
        <v>0.35</v>
      </c>
    </row>
    <row r="17">
      <c r="A17" t="inlineStr">
        <is>
          <t>MY016</t>
        </is>
      </c>
      <c r="B17" t="inlineStr">
        <is>
          <t>Ipoh Parade Mall</t>
        </is>
      </c>
      <c r="C17" t="inlineStr">
        <is>
          <t>Malaysia</t>
        </is>
      </c>
      <c r="D17" t="inlineStr">
        <is>
          <t>Ipoh</t>
        </is>
      </c>
      <c r="E17" t="n">
        <v>2</v>
      </c>
      <c r="F17" t="inlineStr">
        <is>
          <t>Digital</t>
        </is>
      </c>
      <c r="G17" t="inlineStr">
        <is>
          <t>Retail</t>
        </is>
      </c>
      <c r="H17" t="inlineStr">
        <is>
          <t>Mall Digital Screen</t>
        </is>
      </c>
      <c r="I17" t="inlineStr">
        <is>
          <t>Retail: Shopping Center</t>
        </is>
      </c>
      <c r="J17" t="n">
        <v>5</v>
      </c>
      <c r="K17" t="n">
        <v>1.5</v>
      </c>
      <c r="L17" t="n">
        <v>28000</v>
      </c>
      <c r="M17" t="n">
        <v>14000</v>
      </c>
      <c r="N17" t="n">
        <v>12</v>
      </c>
      <c r="O17" t="n">
        <v>6</v>
      </c>
      <c r="P17" t="n">
        <v>10</v>
      </c>
      <c r="Q17" t="n">
        <v>0.015</v>
      </c>
      <c r="R17" t="n">
        <v>0.22</v>
      </c>
      <c r="S17" t="n">
        <v>0.28</v>
      </c>
      <c r="T17" t="n">
        <v>0.28</v>
      </c>
      <c r="U17" t="n">
        <v>0.15</v>
      </c>
      <c r="V17" t="n">
        <v>0.07000000000000001</v>
      </c>
      <c r="W17" t="n">
        <v>0.45</v>
      </c>
      <c r="X17" t="n">
        <v>0.55</v>
      </c>
      <c r="Y17" t="n">
        <v>0.3</v>
      </c>
      <c r="Z17" t="n">
        <v>0.5</v>
      </c>
      <c r="AA17" t="n">
        <v>0.18</v>
      </c>
      <c r="AB17" t="n">
        <v>0.02</v>
      </c>
      <c r="AC17" t="n">
        <v>0.25</v>
      </c>
      <c r="AD17" t="n">
        <v>0.25</v>
      </c>
      <c r="AE17" t="n">
        <v>0.18</v>
      </c>
      <c r="AF17" t="n">
        <v>0.32</v>
      </c>
      <c r="AG17" t="n">
        <v>0.25</v>
      </c>
      <c r="AH17" t="n">
        <v>0.55</v>
      </c>
      <c r="AI17" t="n">
        <v>0.12</v>
      </c>
      <c r="AJ17" t="n">
        <v>0.12</v>
      </c>
      <c r="AK17" t="n">
        <v>0.35</v>
      </c>
    </row>
    <row r="18">
      <c r="A18" t="inlineStr">
        <is>
          <t>MY017</t>
        </is>
      </c>
      <c r="B18" t="inlineStr">
        <is>
          <t>Melaka Dataran Pahlawan</t>
        </is>
      </c>
      <c r="C18" t="inlineStr">
        <is>
          <t>Malaysia</t>
        </is>
      </c>
      <c r="D18" t="inlineStr">
        <is>
          <t>Melaka</t>
        </is>
      </c>
      <c r="E18" t="n">
        <v>3</v>
      </c>
      <c r="F18" t="inlineStr">
        <is>
          <t>Digital</t>
        </is>
      </c>
      <c r="G18" t="inlineStr">
        <is>
          <t>Retail</t>
        </is>
      </c>
      <c r="H18" t="inlineStr">
        <is>
          <t>Mall Digital Screen</t>
        </is>
      </c>
      <c r="I18" t="inlineStr">
        <is>
          <t>Retail: Shopping Center</t>
        </is>
      </c>
      <c r="J18" t="n">
        <v>5</v>
      </c>
      <c r="K18" t="n">
        <v>1.5</v>
      </c>
      <c r="L18" t="n">
        <v>32000</v>
      </c>
      <c r="M18" t="n">
        <v>16000</v>
      </c>
      <c r="N18" t="n">
        <v>12</v>
      </c>
      <c r="O18" t="n">
        <v>6</v>
      </c>
      <c r="P18" t="n">
        <v>10</v>
      </c>
      <c r="Q18" t="n">
        <v>0.018</v>
      </c>
      <c r="R18" t="n">
        <v>0.25</v>
      </c>
      <c r="S18" t="n">
        <v>0.3</v>
      </c>
      <c r="T18" t="n">
        <v>0.25</v>
      </c>
      <c r="U18" t="n">
        <v>0.12</v>
      </c>
      <c r="V18" t="n">
        <v>0.08</v>
      </c>
      <c r="W18" t="n">
        <v>0.48</v>
      </c>
      <c r="X18" t="n">
        <v>0.52</v>
      </c>
      <c r="Y18" t="n">
        <v>0.28</v>
      </c>
      <c r="Z18" t="n">
        <v>0.52</v>
      </c>
      <c r="AA18" t="n">
        <v>0.18</v>
      </c>
      <c r="AB18" t="n">
        <v>0.02</v>
      </c>
      <c r="AC18" t="n">
        <v>0.35</v>
      </c>
      <c r="AD18" t="n">
        <v>0.28</v>
      </c>
      <c r="AE18" t="n">
        <v>0.18</v>
      </c>
      <c r="AF18" t="n">
        <v>0.3</v>
      </c>
      <c r="AG18" t="n">
        <v>0.22</v>
      </c>
      <c r="AH18" t="n">
        <v>0.55</v>
      </c>
      <c r="AI18" t="n">
        <v>0.1</v>
      </c>
      <c r="AJ18" t="n">
        <v>0.25</v>
      </c>
      <c r="AK18" t="n">
        <v>0.3</v>
      </c>
    </row>
    <row r="19">
      <c r="A19" t="inlineStr">
        <is>
          <t>MY018</t>
        </is>
      </c>
      <c r="B19" t="inlineStr">
        <is>
          <t>Kuching Airport</t>
        </is>
      </c>
      <c r="C19" t="inlineStr">
        <is>
          <t>Malaysia</t>
        </is>
      </c>
      <c r="D19" t="inlineStr">
        <is>
          <t>Kuching</t>
        </is>
      </c>
      <c r="E19" t="n">
        <v>2</v>
      </c>
      <c r="F19" t="inlineStr">
        <is>
          <t>Digital</t>
        </is>
      </c>
      <c r="G19" t="inlineStr">
        <is>
          <t>Transit</t>
        </is>
      </c>
      <c r="H19" t="inlineStr">
        <is>
          <t>Airport Digital</t>
        </is>
      </c>
      <c r="I19" t="inlineStr">
        <is>
          <t>Transit: Airport</t>
        </is>
      </c>
      <c r="J19" t="n">
        <v>7</v>
      </c>
      <c r="K19" t="n">
        <v>2.5</v>
      </c>
      <c r="L19" t="n">
        <v>22000</v>
      </c>
      <c r="M19" t="n">
        <v>18000</v>
      </c>
      <c r="N19" t="n">
        <v>14</v>
      </c>
      <c r="O19" t="n">
        <v>4</v>
      </c>
      <c r="P19" t="n">
        <v>15</v>
      </c>
      <c r="Q19" t="n">
        <v>0.022</v>
      </c>
      <c r="R19" t="n">
        <v>0.22</v>
      </c>
      <c r="S19" t="n">
        <v>0.32</v>
      </c>
      <c r="T19" t="n">
        <v>0.28</v>
      </c>
      <c r="U19" t="n">
        <v>0.12</v>
      </c>
      <c r="V19" t="n">
        <v>0.06</v>
      </c>
      <c r="W19" t="n">
        <v>0.54</v>
      </c>
      <c r="X19" t="n">
        <v>0.46</v>
      </c>
      <c r="Y19" t="n">
        <v>0.18</v>
      </c>
      <c r="Z19" t="n">
        <v>0.48</v>
      </c>
      <c r="AA19" t="n">
        <v>0.3</v>
      </c>
      <c r="AB19" t="n">
        <v>0.04</v>
      </c>
      <c r="AC19" t="n">
        <v>0.55</v>
      </c>
      <c r="AD19" t="n">
        <v>0.22</v>
      </c>
      <c r="AE19" t="n">
        <v>0.18</v>
      </c>
      <c r="AF19" t="n">
        <v>0.25</v>
      </c>
      <c r="AG19" t="n">
        <v>0.12</v>
      </c>
      <c r="AH19" t="n">
        <v>0.18</v>
      </c>
      <c r="AI19" t="n">
        <v>0.38</v>
      </c>
      <c r="AJ19" t="n">
        <v>0.65</v>
      </c>
      <c r="AK19" t="n">
        <v>0.12</v>
      </c>
    </row>
    <row r="20">
      <c r="A20" t="inlineStr">
        <is>
          <t>MY019</t>
        </is>
      </c>
      <c r="B20" t="inlineStr">
        <is>
          <t>BFM 89.9 Radio</t>
        </is>
      </c>
      <c r="C20" t="inlineStr">
        <is>
          <t>Malaysia</t>
        </is>
      </c>
      <c r="D20" t="inlineStr">
        <is>
          <t>Kuala Lumpur</t>
        </is>
      </c>
      <c r="E20" t="n">
        <v>1</v>
      </c>
      <c r="F20" t="inlineStr">
        <is>
          <t>Audio</t>
        </is>
      </c>
      <c r="G20" t="inlineStr">
        <is>
          <t>Radio</t>
        </is>
      </c>
      <c r="H20" t="inlineStr">
        <is>
          <t>AM/FM Radio Spot</t>
        </is>
      </c>
      <c r="I20" t="inlineStr">
        <is>
          <t>Audio: Radio</t>
        </is>
      </c>
      <c r="J20" t="n">
        <v>1.5</v>
      </c>
      <c r="K20" t="n">
        <v>0.5</v>
      </c>
      <c r="L20" t="n">
        <v>350000</v>
      </c>
      <c r="M20" t="n">
        <v>180000</v>
      </c>
      <c r="N20" t="n">
        <v>24</v>
      </c>
      <c r="O20" t="n">
        <v>0</v>
      </c>
      <c r="P20" t="n">
        <v>30</v>
      </c>
      <c r="Q20" t="n">
        <v>0.001</v>
      </c>
      <c r="R20" t="n">
        <v>0.18</v>
      </c>
      <c r="S20" t="n">
        <v>0.35</v>
      </c>
      <c r="T20" t="n">
        <v>0.3</v>
      </c>
      <c r="U20" t="n">
        <v>0.12</v>
      </c>
      <c r="V20" t="n">
        <v>0.05</v>
      </c>
      <c r="W20" t="n">
        <v>0.52</v>
      </c>
      <c r="X20" t="n">
        <v>0.48</v>
      </c>
      <c r="Y20" t="n">
        <v>0.1</v>
      </c>
      <c r="Z20" t="n">
        <v>0.45</v>
      </c>
      <c r="AA20" t="n">
        <v>0.4</v>
      </c>
      <c r="AB20" t="n">
        <v>0.05</v>
      </c>
      <c r="AC20" t="n">
        <v>0.3</v>
      </c>
      <c r="AD20" t="n">
        <v>0.25</v>
      </c>
      <c r="AE20" t="n">
        <v>0.35</v>
      </c>
      <c r="AF20" t="n">
        <v>0.3</v>
      </c>
      <c r="AG20" t="n">
        <v>0.55</v>
      </c>
      <c r="AH20" t="n">
        <v>0.2</v>
      </c>
      <c r="AI20" t="n">
        <v>0.45</v>
      </c>
      <c r="AJ20" t="n">
        <v>0.08</v>
      </c>
      <c r="AK20" t="n">
        <v>0.2</v>
      </c>
    </row>
    <row r="21">
      <c r="A21" t="inlineStr">
        <is>
          <t>MY020</t>
        </is>
      </c>
      <c r="B21" t="inlineStr">
        <is>
          <t>Hitz FM Radio</t>
        </is>
      </c>
      <c r="C21" t="inlineStr">
        <is>
          <t>Malaysia</t>
        </is>
      </c>
      <c r="D21" t="inlineStr">
        <is>
          <t>Kuala Lumpur</t>
        </is>
      </c>
      <c r="E21" t="n">
        <v>1</v>
      </c>
      <c r="F21" t="inlineStr">
        <is>
          <t>Audio</t>
        </is>
      </c>
      <c r="G21" t="inlineStr">
        <is>
          <t>Radio</t>
        </is>
      </c>
      <c r="H21" t="inlineStr">
        <is>
          <t>AM/FM Radio Spot</t>
        </is>
      </c>
      <c r="I21" t="inlineStr">
        <is>
          <t>Audio: Radio</t>
        </is>
      </c>
      <c r="J21" t="n">
        <v>2</v>
      </c>
      <c r="K21" t="n">
        <v>0.8</v>
      </c>
      <c r="L21" t="n">
        <v>450000</v>
      </c>
      <c r="M21" t="n">
        <v>220000</v>
      </c>
      <c r="N21" t="n">
        <v>24</v>
      </c>
      <c r="O21" t="n">
        <v>0</v>
      </c>
      <c r="P21" t="n">
        <v>30</v>
      </c>
      <c r="Q21" t="n">
        <v>0.001</v>
      </c>
      <c r="R21" t="n">
        <v>0.35</v>
      </c>
      <c r="S21" t="n">
        <v>0.35</v>
      </c>
      <c r="T21" t="n">
        <v>0.18</v>
      </c>
      <c r="U21" t="n">
        <v>0.08</v>
      </c>
      <c r="V21" t="n">
        <v>0.04</v>
      </c>
      <c r="W21" t="n">
        <v>0.48</v>
      </c>
      <c r="X21" t="n">
        <v>0.52</v>
      </c>
      <c r="Y21" t="n">
        <v>0.25</v>
      </c>
      <c r="Z21" t="n">
        <v>0.5</v>
      </c>
      <c r="AA21" t="n">
        <v>0.22</v>
      </c>
      <c r="AB21" t="n">
        <v>0.03</v>
      </c>
      <c r="AC21" t="n">
        <v>0.28</v>
      </c>
      <c r="AD21" t="n">
        <v>0.32</v>
      </c>
      <c r="AE21" t="n">
        <v>0.22</v>
      </c>
      <c r="AF21" t="n">
        <v>0.38</v>
      </c>
      <c r="AG21" t="n">
        <v>0.45</v>
      </c>
      <c r="AH21" t="n">
        <v>0.35</v>
      </c>
      <c r="AI21" t="n">
        <v>0.25</v>
      </c>
      <c r="AJ21" t="n">
        <v>0.12</v>
      </c>
      <c r="AK21" t="n">
        <v>0.25</v>
      </c>
    </row>
    <row r="22">
      <c r="A22" t="inlineStr">
        <is>
          <t>JP001</t>
        </is>
      </c>
      <c r="B22" t="inlineStr">
        <is>
          <t>Shibuya Crossing LED</t>
        </is>
      </c>
      <c r="C22" t="inlineStr">
        <is>
          <t>Japan</t>
        </is>
      </c>
      <c r="D22" t="inlineStr">
        <is>
          <t>Tokyo</t>
        </is>
      </c>
      <c r="E22" t="n">
        <v>1</v>
      </c>
      <c r="F22" t="inlineStr">
        <is>
          <t>Digital</t>
        </is>
      </c>
      <c r="G22" t="inlineStr">
        <is>
          <t>OOH</t>
        </is>
      </c>
      <c r="H22" t="inlineStr">
        <is>
          <t>LED Screen</t>
        </is>
      </c>
      <c r="I22" t="inlineStr">
        <is>
          <t>Billboard: Roadside</t>
        </is>
      </c>
      <c r="J22" t="n">
        <v>50</v>
      </c>
      <c r="K22" t="n">
        <v>18</v>
      </c>
      <c r="L22" t="n">
        <v>500000</v>
      </c>
      <c r="M22" t="n">
        <v>380000</v>
      </c>
      <c r="N22" t="n">
        <v>24</v>
      </c>
      <c r="O22" t="n">
        <v>4</v>
      </c>
      <c r="P22" t="n">
        <v>15</v>
      </c>
      <c r="Q22" t="n">
        <v>0.06</v>
      </c>
      <c r="R22" t="n">
        <v>0.35</v>
      </c>
      <c r="S22" t="n">
        <v>0.35</v>
      </c>
      <c r="T22" t="n">
        <v>0.18</v>
      </c>
      <c r="U22" t="n">
        <v>0.08</v>
      </c>
      <c r="V22" t="n">
        <v>0.04</v>
      </c>
      <c r="W22" t="n">
        <v>0.52</v>
      </c>
      <c r="X22" t="n">
        <v>0.48</v>
      </c>
      <c r="Y22" t="n">
        <v>0.15</v>
      </c>
      <c r="Z22" t="n">
        <v>0.45</v>
      </c>
      <c r="AA22" t="n">
        <v>0.32</v>
      </c>
      <c r="AB22" t="n">
        <v>0.08</v>
      </c>
      <c r="AC22" t="n">
        <v>0.45</v>
      </c>
      <c r="AD22" t="n">
        <v>0.5</v>
      </c>
      <c r="AE22" t="n">
        <v>0.35</v>
      </c>
      <c r="AF22" t="n">
        <v>0.4</v>
      </c>
      <c r="AG22" t="n">
        <v>0.3</v>
      </c>
      <c r="AH22" t="n">
        <v>0.45</v>
      </c>
      <c r="AI22" t="n">
        <v>0.2</v>
      </c>
      <c r="AJ22" t="n">
        <v>0.55</v>
      </c>
      <c r="AK22" t="n">
        <v>0.1</v>
      </c>
    </row>
    <row r="23">
      <c r="A23" t="inlineStr">
        <is>
          <t>JP002</t>
        </is>
      </c>
      <c r="B23" t="inlineStr">
        <is>
          <t>Shinjuku Station Digital</t>
        </is>
      </c>
      <c r="C23" t="inlineStr">
        <is>
          <t>Japan</t>
        </is>
      </c>
      <c r="D23" t="inlineStr">
        <is>
          <t>Tokyo</t>
        </is>
      </c>
      <c r="E23" t="n">
        <v>1</v>
      </c>
      <c r="F23" t="inlineStr">
        <is>
          <t>Digital</t>
        </is>
      </c>
      <c r="G23" t="inlineStr">
        <is>
          <t>Transit</t>
        </is>
      </c>
      <c r="H23" t="inlineStr">
        <is>
          <t>Station Digital</t>
        </is>
      </c>
      <c r="I23" t="inlineStr">
        <is>
          <t>Transit: Rail/Metro Station</t>
        </is>
      </c>
      <c r="J23" t="n">
        <v>35</v>
      </c>
      <c r="K23" t="n">
        <v>12</v>
      </c>
      <c r="L23" t="n">
        <v>650000</v>
      </c>
      <c r="M23" t="n">
        <v>320000</v>
      </c>
      <c r="N23" t="n">
        <v>20</v>
      </c>
      <c r="O23" t="n">
        <v>6</v>
      </c>
      <c r="P23" t="n">
        <v>10</v>
      </c>
      <c r="Q23" t="n">
        <v>0.04</v>
      </c>
      <c r="R23" t="n">
        <v>0.3</v>
      </c>
      <c r="S23" t="n">
        <v>0.4</v>
      </c>
      <c r="T23" t="n">
        <v>0.2</v>
      </c>
      <c r="U23" t="n">
        <v>0.07000000000000001</v>
      </c>
      <c r="V23" t="n">
        <v>0.03</v>
      </c>
      <c r="W23" t="n">
        <v>0.5</v>
      </c>
      <c r="X23" t="n">
        <v>0.5</v>
      </c>
      <c r="Y23" t="n">
        <v>0.2</v>
      </c>
      <c r="Z23" t="n">
        <v>0.55</v>
      </c>
      <c r="AA23" t="n">
        <v>0.22</v>
      </c>
      <c r="AB23" t="n">
        <v>0.03</v>
      </c>
      <c r="AC23" t="n">
        <v>0.35</v>
      </c>
      <c r="AD23" t="n">
        <v>0.4</v>
      </c>
      <c r="AE23" t="n">
        <v>0.3</v>
      </c>
      <c r="AF23" t="n">
        <v>0.3</v>
      </c>
      <c r="AG23" t="n">
        <v>0.75</v>
      </c>
      <c r="AH23" t="n">
        <v>0.15</v>
      </c>
      <c r="AI23" t="n">
        <v>0.35</v>
      </c>
      <c r="AJ23" t="n">
        <v>0.15</v>
      </c>
      <c r="AK23" t="n">
        <v>0.2</v>
      </c>
    </row>
    <row r="24">
      <c r="A24" t="inlineStr">
        <is>
          <t>JP003</t>
        </is>
      </c>
      <c r="B24" t="inlineStr">
        <is>
          <t>Narita Airport T1</t>
        </is>
      </c>
      <c r="C24" t="inlineStr">
        <is>
          <t>Japan</t>
        </is>
      </c>
      <c r="D24" t="inlineStr">
        <is>
          <t>Tokyo</t>
        </is>
      </c>
      <c r="E24" t="n">
        <v>1</v>
      </c>
      <c r="F24" t="inlineStr">
        <is>
          <t>Digital</t>
        </is>
      </c>
      <c r="G24" t="inlineStr">
        <is>
          <t>Transit</t>
        </is>
      </c>
      <c r="H24" t="inlineStr">
        <is>
          <t>Airport Digital</t>
        </is>
      </c>
      <c r="I24" t="inlineStr">
        <is>
          <t>Transit: Airport</t>
        </is>
      </c>
      <c r="J24" t="n">
        <v>55</v>
      </c>
      <c r="K24" t="n">
        <v>20</v>
      </c>
      <c r="L24" t="n">
        <v>180000</v>
      </c>
      <c r="M24" t="n">
        <v>150000</v>
      </c>
      <c r="N24" t="n">
        <v>20</v>
      </c>
      <c r="O24" t="n">
        <v>4</v>
      </c>
      <c r="P24" t="n">
        <v>15</v>
      </c>
      <c r="Q24" t="n">
        <v>0.045</v>
      </c>
      <c r="R24" t="n">
        <v>0.22</v>
      </c>
      <c r="S24" t="n">
        <v>0.32</v>
      </c>
      <c r="T24" t="n">
        <v>0.28</v>
      </c>
      <c r="U24" t="n">
        <v>0.12</v>
      </c>
      <c r="V24" t="n">
        <v>0.06</v>
      </c>
      <c r="W24" t="n">
        <v>0.55</v>
      </c>
      <c r="X24" t="n">
        <v>0.45</v>
      </c>
      <c r="Y24" t="n">
        <v>0.08</v>
      </c>
      <c r="Z24" t="n">
        <v>0.35</v>
      </c>
      <c r="AA24" t="n">
        <v>0.45</v>
      </c>
      <c r="AB24" t="n">
        <v>0.12</v>
      </c>
      <c r="AC24" t="n">
        <v>0.72</v>
      </c>
      <c r="AD24" t="n">
        <v>0.25</v>
      </c>
      <c r="AE24" t="n">
        <v>0.18</v>
      </c>
      <c r="AF24" t="n">
        <v>0.22</v>
      </c>
      <c r="AG24" t="n">
        <v>0.08</v>
      </c>
      <c r="AH24" t="n">
        <v>0.12</v>
      </c>
      <c r="AI24" t="n">
        <v>0.42</v>
      </c>
      <c r="AJ24" t="n">
        <v>0.82</v>
      </c>
      <c r="AK24" t="n">
        <v>0.05</v>
      </c>
    </row>
    <row r="25">
      <c r="A25" t="inlineStr">
        <is>
          <t>JP004</t>
        </is>
      </c>
      <c r="B25" t="inlineStr">
        <is>
          <t>Ginza Sony Building</t>
        </is>
      </c>
      <c r="C25" t="inlineStr">
        <is>
          <t>Japan</t>
        </is>
      </c>
      <c r="D25" t="inlineStr">
        <is>
          <t>Tokyo</t>
        </is>
      </c>
      <c r="E25" t="n">
        <v>1</v>
      </c>
      <c r="F25" t="inlineStr">
        <is>
          <t>Digital</t>
        </is>
      </c>
      <c r="G25" t="inlineStr">
        <is>
          <t>Retail</t>
        </is>
      </c>
      <c r="H25" t="inlineStr">
        <is>
          <t>Mall Digital Screen</t>
        </is>
      </c>
      <c r="I25" t="inlineStr">
        <is>
          <t>Retail: Shopping Center</t>
        </is>
      </c>
      <c r="J25" t="n">
        <v>42</v>
      </c>
      <c r="K25" t="n">
        <v>15</v>
      </c>
      <c r="L25" t="n">
        <v>85000</v>
      </c>
      <c r="M25" t="n">
        <v>45000</v>
      </c>
      <c r="N25" t="n">
        <v>14</v>
      </c>
      <c r="O25" t="n">
        <v>6</v>
      </c>
      <c r="P25" t="n">
        <v>10</v>
      </c>
      <c r="Q25" t="n">
        <v>0.035</v>
      </c>
      <c r="R25" t="n">
        <v>0.25</v>
      </c>
      <c r="S25" t="n">
        <v>0.35</v>
      </c>
      <c r="T25" t="n">
        <v>0.25</v>
      </c>
      <c r="U25" t="n">
        <v>0.1</v>
      </c>
      <c r="V25" t="n">
        <v>0.05</v>
      </c>
      <c r="W25" t="n">
        <v>0.45</v>
      </c>
      <c r="X25" t="n">
        <v>0.55</v>
      </c>
      <c r="Y25" t="n">
        <v>0.05</v>
      </c>
      <c r="Z25" t="n">
        <v>0.35</v>
      </c>
      <c r="AA25" t="n">
        <v>0.45</v>
      </c>
      <c r="AB25" t="n">
        <v>0.15</v>
      </c>
      <c r="AC25" t="n">
        <v>0.4</v>
      </c>
      <c r="AD25" t="n">
        <v>0.55</v>
      </c>
      <c r="AE25" t="n">
        <v>0.45</v>
      </c>
      <c r="AF25" t="n">
        <v>0.35</v>
      </c>
      <c r="AG25" t="n">
        <v>0.15</v>
      </c>
      <c r="AH25" t="n">
        <v>0.65</v>
      </c>
      <c r="AI25" t="n">
        <v>0.25</v>
      </c>
      <c r="AJ25" t="n">
        <v>0.35</v>
      </c>
      <c r="AK25" t="n">
        <v>0.1</v>
      </c>
    </row>
    <row r="26">
      <c r="A26" t="inlineStr">
        <is>
          <t>JP005</t>
        </is>
      </c>
      <c r="B26" t="inlineStr">
        <is>
          <t>Osaka Dotonbori Screen</t>
        </is>
      </c>
      <c r="C26" t="inlineStr">
        <is>
          <t>Japan</t>
        </is>
      </c>
      <c r="D26" t="inlineStr">
        <is>
          <t>Osaka</t>
        </is>
      </c>
      <c r="E26" t="n">
        <v>1</v>
      </c>
      <c r="F26" t="inlineStr">
        <is>
          <t>Digital</t>
        </is>
      </c>
      <c r="G26" t="inlineStr">
        <is>
          <t>OOH</t>
        </is>
      </c>
      <c r="H26" t="inlineStr">
        <is>
          <t>LED Screen</t>
        </is>
      </c>
      <c r="I26" t="inlineStr">
        <is>
          <t>Billboard: Roadside</t>
        </is>
      </c>
      <c r="J26" t="n">
        <v>40</v>
      </c>
      <c r="K26" t="n">
        <v>14</v>
      </c>
      <c r="L26" t="n">
        <v>350000</v>
      </c>
      <c r="M26" t="n">
        <v>260000</v>
      </c>
      <c r="N26" t="n">
        <v>24</v>
      </c>
      <c r="O26" t="n">
        <v>4</v>
      </c>
      <c r="P26" t="n">
        <v>15</v>
      </c>
      <c r="Q26" t="n">
        <v>0.055</v>
      </c>
      <c r="R26" t="n">
        <v>0.32</v>
      </c>
      <c r="S26" t="n">
        <v>0.35</v>
      </c>
      <c r="T26" t="n">
        <v>0.2</v>
      </c>
      <c r="U26" t="n">
        <v>0.08</v>
      </c>
      <c r="V26" t="n">
        <v>0.05</v>
      </c>
      <c r="W26" t="n">
        <v>0.5</v>
      </c>
      <c r="X26" t="n">
        <v>0.5</v>
      </c>
      <c r="Y26" t="n">
        <v>0.18</v>
      </c>
      <c r="Z26" t="n">
        <v>0.48</v>
      </c>
      <c r="AA26" t="n">
        <v>0.28</v>
      </c>
      <c r="AB26" t="n">
        <v>0.06</v>
      </c>
      <c r="AC26" t="n">
        <v>0.42</v>
      </c>
      <c r="AD26" t="n">
        <v>0.45</v>
      </c>
      <c r="AE26" t="n">
        <v>0.3</v>
      </c>
      <c r="AF26" t="n">
        <v>0.45</v>
      </c>
      <c r="AG26" t="n">
        <v>0.28</v>
      </c>
      <c r="AH26" t="n">
        <v>0.48</v>
      </c>
      <c r="AI26" t="n">
        <v>0.18</v>
      </c>
      <c r="AJ26" t="n">
        <v>0.48</v>
      </c>
      <c r="AK26" t="n">
        <v>0.12</v>
      </c>
    </row>
    <row r="27">
      <c r="A27" t="inlineStr">
        <is>
          <t>JP006</t>
        </is>
      </c>
      <c r="B27" t="inlineStr">
        <is>
          <t>Umeda Station Network</t>
        </is>
      </c>
      <c r="C27" t="inlineStr">
        <is>
          <t>Japan</t>
        </is>
      </c>
      <c r="D27" t="inlineStr">
        <is>
          <t>Osaka</t>
        </is>
      </c>
      <c r="E27" t="n">
        <v>1</v>
      </c>
      <c r="F27" t="inlineStr">
        <is>
          <t>Digital</t>
        </is>
      </c>
      <c r="G27" t="inlineStr">
        <is>
          <t>Network</t>
        </is>
      </c>
      <c r="H27" t="inlineStr">
        <is>
          <t>Station Digital</t>
        </is>
      </c>
      <c r="I27" t="inlineStr">
        <is>
          <t>Transit: Rail/Metro Station</t>
        </is>
      </c>
      <c r="J27" t="n">
        <v>28</v>
      </c>
      <c r="K27" t="n">
        <v>10</v>
      </c>
      <c r="L27" t="n">
        <v>420000</v>
      </c>
      <c r="M27" t="n">
        <v>210000</v>
      </c>
      <c r="N27" t="n">
        <v>18</v>
      </c>
      <c r="O27" t="n">
        <v>6</v>
      </c>
      <c r="P27" t="n">
        <v>10</v>
      </c>
      <c r="Q27" t="n">
        <v>0.038</v>
      </c>
      <c r="R27" t="n">
        <v>0.28</v>
      </c>
      <c r="S27" t="n">
        <v>0.42</v>
      </c>
      <c r="T27" t="n">
        <v>0.2</v>
      </c>
      <c r="U27" t="n">
        <v>0.07000000000000001</v>
      </c>
      <c r="V27" t="n">
        <v>0.03</v>
      </c>
      <c r="W27" t="n">
        <v>0.52</v>
      </c>
      <c r="X27" t="n">
        <v>0.48</v>
      </c>
      <c r="Y27" t="n">
        <v>0.22</v>
      </c>
      <c r="Z27" t="n">
        <v>0.55</v>
      </c>
      <c r="AA27" t="n">
        <v>0.2</v>
      </c>
      <c r="AB27" t="n">
        <v>0.03</v>
      </c>
      <c r="AC27" t="n">
        <v>0.32</v>
      </c>
      <c r="AD27" t="n">
        <v>0.38</v>
      </c>
      <c r="AE27" t="n">
        <v>0.32</v>
      </c>
      <c r="AF27" t="n">
        <v>0.28</v>
      </c>
      <c r="AG27" t="n">
        <v>0.78</v>
      </c>
      <c r="AH27" t="n">
        <v>0.12</v>
      </c>
      <c r="AI27" t="n">
        <v>0.38</v>
      </c>
      <c r="AJ27" t="n">
        <v>0.12</v>
      </c>
      <c r="AK27" t="n">
        <v>0.18</v>
      </c>
    </row>
    <row r="28">
      <c r="A28" t="inlineStr">
        <is>
          <t>JP007</t>
        </is>
      </c>
      <c r="B28" t="inlineStr">
        <is>
          <t>Kansai Airport T2</t>
        </is>
      </c>
      <c r="C28" t="inlineStr">
        <is>
          <t>Japan</t>
        </is>
      </c>
      <c r="D28" t="inlineStr">
        <is>
          <t>Osaka</t>
        </is>
      </c>
      <c r="E28" t="n">
        <v>1</v>
      </c>
      <c r="F28" t="inlineStr">
        <is>
          <t>Digital</t>
        </is>
      </c>
      <c r="G28" t="inlineStr">
        <is>
          <t>Transit</t>
        </is>
      </c>
      <c r="H28" t="inlineStr">
        <is>
          <t>Airport Digital</t>
        </is>
      </c>
      <c r="I28" t="inlineStr">
        <is>
          <t>Transit: Airport</t>
        </is>
      </c>
      <c r="J28" t="n">
        <v>48</v>
      </c>
      <c r="K28" t="n">
        <v>16</v>
      </c>
      <c r="L28" t="n">
        <v>95000</v>
      </c>
      <c r="M28" t="n">
        <v>78000</v>
      </c>
      <c r="N28" t="n">
        <v>18</v>
      </c>
      <c r="O28" t="n">
        <v>4</v>
      </c>
      <c r="P28" t="n">
        <v>15</v>
      </c>
      <c r="Q28" t="n">
        <v>0.042</v>
      </c>
      <c r="R28" t="n">
        <v>0.2</v>
      </c>
      <c r="S28" t="n">
        <v>0.3</v>
      </c>
      <c r="T28" t="n">
        <v>0.3</v>
      </c>
      <c r="U28" t="n">
        <v>0.14</v>
      </c>
      <c r="V28" t="n">
        <v>0.06</v>
      </c>
      <c r="W28" t="n">
        <v>0.5600000000000001</v>
      </c>
      <c r="X28" t="n">
        <v>0.44</v>
      </c>
      <c r="Y28" t="n">
        <v>0.1</v>
      </c>
      <c r="Z28" t="n">
        <v>0.38</v>
      </c>
      <c r="AA28" t="n">
        <v>0.42</v>
      </c>
      <c r="AB28" t="n">
        <v>0.1</v>
      </c>
      <c r="AC28" t="n">
        <v>0.68</v>
      </c>
      <c r="AD28" t="n">
        <v>0.22</v>
      </c>
      <c r="AE28" t="n">
        <v>0.15</v>
      </c>
      <c r="AF28" t="n">
        <v>0.2</v>
      </c>
      <c r="AG28" t="n">
        <v>0.1</v>
      </c>
      <c r="AH28" t="n">
        <v>0.15</v>
      </c>
      <c r="AI28" t="n">
        <v>0.4</v>
      </c>
      <c r="AJ28" t="n">
        <v>0.78</v>
      </c>
      <c r="AK28" t="n">
        <v>0.05</v>
      </c>
    </row>
    <row r="29">
      <c r="A29" t="inlineStr">
        <is>
          <t>JP008</t>
        </is>
      </c>
      <c r="B29" t="inlineStr">
        <is>
          <t>Harajuku Takeshita St</t>
        </is>
      </c>
      <c r="C29" t="inlineStr">
        <is>
          <t>Japan</t>
        </is>
      </c>
      <c r="D29" t="inlineStr">
        <is>
          <t>Tokyo</t>
        </is>
      </c>
      <c r="E29" t="n">
        <v>1</v>
      </c>
      <c r="F29" t="inlineStr">
        <is>
          <t>Digital</t>
        </is>
      </c>
      <c r="G29" t="inlineStr">
        <is>
          <t>Retail</t>
        </is>
      </c>
      <c r="H29" t="inlineStr">
        <is>
          <t>LED Screen</t>
        </is>
      </c>
      <c r="I29" t="inlineStr">
        <is>
          <t>Retail: High Street</t>
        </is>
      </c>
      <c r="J29" t="n">
        <v>32</v>
      </c>
      <c r="K29" t="n">
        <v>11</v>
      </c>
      <c r="L29" t="n">
        <v>120000</v>
      </c>
      <c r="M29" t="n">
        <v>70000</v>
      </c>
      <c r="N29" t="n">
        <v>14</v>
      </c>
      <c r="O29" t="n">
        <v>6</v>
      </c>
      <c r="P29" t="n">
        <v>10</v>
      </c>
      <c r="Q29" t="n">
        <v>0.032</v>
      </c>
      <c r="R29" t="n">
        <v>0.45</v>
      </c>
      <c r="S29" t="n">
        <v>0.35</v>
      </c>
      <c r="T29" t="n">
        <v>0.12</v>
      </c>
      <c r="U29" t="n">
        <v>0.05</v>
      </c>
      <c r="V29" t="n">
        <v>0.03</v>
      </c>
      <c r="W29" t="n">
        <v>0.35</v>
      </c>
      <c r="X29" t="n">
        <v>0.65</v>
      </c>
      <c r="Y29" t="n">
        <v>0.25</v>
      </c>
      <c r="Z29" t="n">
        <v>0.5</v>
      </c>
      <c r="AA29" t="n">
        <v>0.22</v>
      </c>
      <c r="AB29" t="n">
        <v>0.03</v>
      </c>
      <c r="AC29" t="n">
        <v>0.35</v>
      </c>
      <c r="AD29" t="n">
        <v>0.65</v>
      </c>
      <c r="AE29" t="n">
        <v>0.25</v>
      </c>
      <c r="AF29" t="n">
        <v>0.45</v>
      </c>
      <c r="AG29" t="n">
        <v>0.2</v>
      </c>
      <c r="AH29" t="n">
        <v>0.7</v>
      </c>
      <c r="AI29" t="n">
        <v>0.08</v>
      </c>
      <c r="AJ29" t="n">
        <v>0.35</v>
      </c>
      <c r="AK29" t="n">
        <v>0.15</v>
      </c>
    </row>
    <row r="30">
      <c r="A30" t="inlineStr">
        <is>
          <t>JP009</t>
        </is>
      </c>
      <c r="B30" t="inlineStr">
        <is>
          <t>Nagoya Station Central</t>
        </is>
      </c>
      <c r="C30" t="inlineStr">
        <is>
          <t>Japan</t>
        </is>
      </c>
      <c r="D30" t="inlineStr">
        <is>
          <t>Nagoya</t>
        </is>
      </c>
      <c r="E30" t="n">
        <v>2</v>
      </c>
      <c r="F30" t="inlineStr">
        <is>
          <t>Digital</t>
        </is>
      </c>
      <c r="G30" t="inlineStr">
        <is>
          <t>Transit</t>
        </is>
      </c>
      <c r="H30" t="inlineStr">
        <is>
          <t>Station Digital</t>
        </is>
      </c>
      <c r="I30" t="inlineStr">
        <is>
          <t>Transit: Rail/Metro Station</t>
        </is>
      </c>
      <c r="J30" t="n">
        <v>25</v>
      </c>
      <c r="K30" t="n">
        <v>9</v>
      </c>
      <c r="L30" t="n">
        <v>280000</v>
      </c>
      <c r="M30" t="n">
        <v>140000</v>
      </c>
      <c r="N30" t="n">
        <v>18</v>
      </c>
      <c r="O30" t="n">
        <v>6</v>
      </c>
      <c r="P30" t="n">
        <v>10</v>
      </c>
      <c r="Q30" t="n">
        <v>0.035</v>
      </c>
      <c r="R30" t="n">
        <v>0.25</v>
      </c>
      <c r="S30" t="n">
        <v>0.4</v>
      </c>
      <c r="T30" t="n">
        <v>0.22</v>
      </c>
      <c r="U30" t="n">
        <v>0.09</v>
      </c>
      <c r="V30" t="n">
        <v>0.04</v>
      </c>
      <c r="W30" t="n">
        <v>0.52</v>
      </c>
      <c r="X30" t="n">
        <v>0.48</v>
      </c>
      <c r="Y30" t="n">
        <v>0.22</v>
      </c>
      <c r="Z30" t="n">
        <v>0.55</v>
      </c>
      <c r="AA30" t="n">
        <v>0.2</v>
      </c>
      <c r="AB30" t="n">
        <v>0.03</v>
      </c>
      <c r="AC30" t="n">
        <v>0.3</v>
      </c>
      <c r="AD30" t="n">
        <v>0.35</v>
      </c>
      <c r="AE30" t="n">
        <v>0.32</v>
      </c>
      <c r="AF30" t="n">
        <v>0.28</v>
      </c>
      <c r="AG30" t="n">
        <v>0.72</v>
      </c>
      <c r="AH30" t="n">
        <v>0.15</v>
      </c>
      <c r="AI30" t="n">
        <v>0.38</v>
      </c>
      <c r="AJ30" t="n">
        <v>0.12</v>
      </c>
      <c r="AK30" t="n">
        <v>0.22</v>
      </c>
    </row>
    <row r="31">
      <c r="A31" t="inlineStr">
        <is>
          <t>JP010</t>
        </is>
      </c>
      <c r="B31" t="inlineStr">
        <is>
          <t>Kyoto Station Karasuma</t>
        </is>
      </c>
      <c r="C31" t="inlineStr">
        <is>
          <t>Japan</t>
        </is>
      </c>
      <c r="D31" t="inlineStr">
        <is>
          <t>Kyoto</t>
        </is>
      </c>
      <c r="E31" t="n">
        <v>2</v>
      </c>
      <c r="F31" t="inlineStr">
        <is>
          <t>Digital</t>
        </is>
      </c>
      <c r="G31" t="inlineStr">
        <is>
          <t>Transit</t>
        </is>
      </c>
      <c r="H31" t="inlineStr">
        <is>
          <t>Station Digital</t>
        </is>
      </c>
      <c r="I31" t="inlineStr">
        <is>
          <t>Transit: Rail/Metro Station</t>
        </is>
      </c>
      <c r="J31" t="n">
        <v>22</v>
      </c>
      <c r="K31" t="n">
        <v>8</v>
      </c>
      <c r="L31" t="n">
        <v>180000</v>
      </c>
      <c r="M31" t="n">
        <v>90000</v>
      </c>
      <c r="N31" t="n">
        <v>16</v>
      </c>
      <c r="O31" t="n">
        <v>6</v>
      </c>
      <c r="P31" t="n">
        <v>10</v>
      </c>
      <c r="Q31" t="n">
        <v>0.03</v>
      </c>
      <c r="R31" t="n">
        <v>0.22</v>
      </c>
      <c r="S31" t="n">
        <v>0.32</v>
      </c>
      <c r="T31" t="n">
        <v>0.25</v>
      </c>
      <c r="U31" t="n">
        <v>0.14</v>
      </c>
      <c r="V31" t="n">
        <v>0.07000000000000001</v>
      </c>
      <c r="W31" t="n">
        <v>0.48</v>
      </c>
      <c r="X31" t="n">
        <v>0.52</v>
      </c>
      <c r="Y31" t="n">
        <v>0.18</v>
      </c>
      <c r="Z31" t="n">
        <v>0.52</v>
      </c>
      <c r="AA31" t="n">
        <v>0.26</v>
      </c>
      <c r="AB31" t="n">
        <v>0.04</v>
      </c>
      <c r="AC31" t="n">
        <v>0.55</v>
      </c>
      <c r="AD31" t="n">
        <v>0.3</v>
      </c>
      <c r="AE31" t="n">
        <v>0.25</v>
      </c>
      <c r="AF31" t="n">
        <v>0.32</v>
      </c>
      <c r="AG31" t="n">
        <v>0.6</v>
      </c>
      <c r="AH31" t="n">
        <v>0.2</v>
      </c>
      <c r="AI31" t="n">
        <v>0.25</v>
      </c>
      <c r="AJ31" t="n">
        <v>0.45</v>
      </c>
      <c r="AK31" t="n">
        <v>0.18</v>
      </c>
    </row>
    <row r="32">
      <c r="A32" t="inlineStr">
        <is>
          <t>JP011</t>
        </is>
      </c>
      <c r="B32" t="inlineStr">
        <is>
          <t>Fukuoka Tenjin Core</t>
        </is>
      </c>
      <c r="C32" t="inlineStr">
        <is>
          <t>Japan</t>
        </is>
      </c>
      <c r="D32" t="inlineStr">
        <is>
          <t>Fukuoka</t>
        </is>
      </c>
      <c r="E32" t="n">
        <v>2</v>
      </c>
      <c r="F32" t="inlineStr">
        <is>
          <t>Digital</t>
        </is>
      </c>
      <c r="G32" t="inlineStr">
        <is>
          <t>Retail</t>
        </is>
      </c>
      <c r="H32" t="inlineStr">
        <is>
          <t>Mall Digital Screen</t>
        </is>
      </c>
      <c r="I32" t="inlineStr">
        <is>
          <t>Retail: Shopping Center</t>
        </is>
      </c>
      <c r="J32" t="n">
        <v>18</v>
      </c>
      <c r="K32" t="n">
        <v>6</v>
      </c>
      <c r="L32" t="n">
        <v>75000</v>
      </c>
      <c r="M32" t="n">
        <v>38000</v>
      </c>
      <c r="N32" t="n">
        <v>14</v>
      </c>
      <c r="O32" t="n">
        <v>6</v>
      </c>
      <c r="P32" t="n">
        <v>10</v>
      </c>
      <c r="Q32" t="n">
        <v>0.028</v>
      </c>
      <c r="R32" t="n">
        <v>0.28</v>
      </c>
      <c r="S32" t="n">
        <v>0.35</v>
      </c>
      <c r="T32" t="n">
        <v>0.22</v>
      </c>
      <c r="U32" t="n">
        <v>0.1</v>
      </c>
      <c r="V32" t="n">
        <v>0.05</v>
      </c>
      <c r="W32" t="n">
        <v>0.45</v>
      </c>
      <c r="X32" t="n">
        <v>0.55</v>
      </c>
      <c r="Y32" t="n">
        <v>0.22</v>
      </c>
      <c r="Z32" t="n">
        <v>0.52</v>
      </c>
      <c r="AA32" t="n">
        <v>0.23</v>
      </c>
      <c r="AB32" t="n">
        <v>0.03</v>
      </c>
      <c r="AC32" t="n">
        <v>0.35</v>
      </c>
      <c r="AD32" t="n">
        <v>0.4</v>
      </c>
      <c r="AE32" t="n">
        <v>0.25</v>
      </c>
      <c r="AF32" t="n">
        <v>0.38</v>
      </c>
      <c r="AG32" t="n">
        <v>0.22</v>
      </c>
      <c r="AH32" t="n">
        <v>0.6</v>
      </c>
      <c r="AI32" t="n">
        <v>0.15</v>
      </c>
      <c r="AJ32" t="n">
        <v>0.22</v>
      </c>
      <c r="AK32" t="n">
        <v>0.25</v>
      </c>
    </row>
    <row r="33">
      <c r="A33" t="inlineStr">
        <is>
          <t>JP012</t>
        </is>
      </c>
      <c r="B33" t="inlineStr">
        <is>
          <t>Yokohama Bay Quarter</t>
        </is>
      </c>
      <c r="C33" t="inlineStr">
        <is>
          <t>Japan</t>
        </is>
      </c>
      <c r="D33" t="inlineStr">
        <is>
          <t>Yokohama</t>
        </is>
      </c>
      <c r="E33" t="n">
        <v>2</v>
      </c>
      <c r="F33" t="inlineStr">
        <is>
          <t>Digital</t>
        </is>
      </c>
      <c r="G33" t="inlineStr">
        <is>
          <t>Retail</t>
        </is>
      </c>
      <c r="H33" t="inlineStr">
        <is>
          <t>Mall Digital Screen</t>
        </is>
      </c>
      <c r="I33" t="inlineStr">
        <is>
          <t>Retail: Shopping Center</t>
        </is>
      </c>
      <c r="J33" t="n">
        <v>20</v>
      </c>
      <c r="K33" t="n">
        <v>7</v>
      </c>
      <c r="L33" t="n">
        <v>68000</v>
      </c>
      <c r="M33" t="n">
        <v>35000</v>
      </c>
      <c r="N33" t="n">
        <v>14</v>
      </c>
      <c r="O33" t="n">
        <v>6</v>
      </c>
      <c r="P33" t="n">
        <v>10</v>
      </c>
      <c r="Q33" t="n">
        <v>0.025</v>
      </c>
      <c r="R33" t="n">
        <v>0.25</v>
      </c>
      <c r="S33" t="n">
        <v>0.38</v>
      </c>
      <c r="T33" t="n">
        <v>0.22</v>
      </c>
      <c r="U33" t="n">
        <v>0.1</v>
      </c>
      <c r="V33" t="n">
        <v>0.05</v>
      </c>
      <c r="W33" t="n">
        <v>0.48</v>
      </c>
      <c r="X33" t="n">
        <v>0.52</v>
      </c>
      <c r="Y33" t="n">
        <v>0.18</v>
      </c>
      <c r="Z33" t="n">
        <v>0.5</v>
      </c>
      <c r="AA33" t="n">
        <v>0.28</v>
      </c>
      <c r="AB33" t="n">
        <v>0.04</v>
      </c>
      <c r="AC33" t="n">
        <v>0.38</v>
      </c>
      <c r="AD33" t="n">
        <v>0.42</v>
      </c>
      <c r="AE33" t="n">
        <v>0.28</v>
      </c>
      <c r="AF33" t="n">
        <v>0.35</v>
      </c>
      <c r="AG33" t="n">
        <v>0.2</v>
      </c>
      <c r="AH33" t="n">
        <v>0.58</v>
      </c>
      <c r="AI33" t="n">
        <v>0.18</v>
      </c>
      <c r="AJ33" t="n">
        <v>0.28</v>
      </c>
      <c r="AK33" t="n">
        <v>0.22</v>
      </c>
    </row>
    <row r="34">
      <c r="A34" t="inlineStr">
        <is>
          <t>JP013</t>
        </is>
      </c>
      <c r="B34" t="inlineStr">
        <is>
          <t>Roppongi Hills Tower</t>
        </is>
      </c>
      <c r="C34" t="inlineStr">
        <is>
          <t>Japan</t>
        </is>
      </c>
      <c r="D34" t="inlineStr">
        <is>
          <t>Tokyo</t>
        </is>
      </c>
      <c r="E34" t="n">
        <v>1</v>
      </c>
      <c r="F34" t="inlineStr">
        <is>
          <t>Digital</t>
        </is>
      </c>
      <c r="G34" t="inlineStr">
        <is>
          <t>Network</t>
        </is>
      </c>
      <c r="H34" t="inlineStr">
        <is>
          <t>Office Lobby Network</t>
        </is>
      </c>
      <c r="I34" t="inlineStr">
        <is>
          <t>Office Building</t>
        </is>
      </c>
      <c r="J34" t="n">
        <v>26</v>
      </c>
      <c r="K34" t="n">
        <v>9</v>
      </c>
      <c r="L34" t="n">
        <v>35000</v>
      </c>
      <c r="M34" t="n">
        <v>12000</v>
      </c>
      <c r="N34" t="n">
        <v>12</v>
      </c>
      <c r="O34" t="n">
        <v>4</v>
      </c>
      <c r="P34" t="n">
        <v>10</v>
      </c>
      <c r="Q34" t="n">
        <v>0.02</v>
      </c>
      <c r="R34" t="n">
        <v>0.12</v>
      </c>
      <c r="S34" t="n">
        <v>0.42</v>
      </c>
      <c r="T34" t="n">
        <v>0.32</v>
      </c>
      <c r="U34" t="n">
        <v>0.1</v>
      </c>
      <c r="V34" t="n">
        <v>0.04</v>
      </c>
      <c r="W34" t="n">
        <v>0.58</v>
      </c>
      <c r="X34" t="n">
        <v>0.42</v>
      </c>
      <c r="Y34" t="n">
        <v>0.03</v>
      </c>
      <c r="Z34" t="n">
        <v>0.35</v>
      </c>
      <c r="AA34" t="n">
        <v>0.5</v>
      </c>
      <c r="AB34" t="n">
        <v>0.12</v>
      </c>
      <c r="AC34" t="n">
        <v>0.35</v>
      </c>
      <c r="AD34" t="n">
        <v>0.35</v>
      </c>
      <c r="AE34" t="n">
        <v>0.55</v>
      </c>
      <c r="AF34" t="n">
        <v>0.25</v>
      </c>
      <c r="AG34" t="n">
        <v>0.08</v>
      </c>
      <c r="AH34" t="n">
        <v>0.05</v>
      </c>
      <c r="AI34" t="n">
        <v>0.88</v>
      </c>
      <c r="AJ34" t="n">
        <v>0.05</v>
      </c>
      <c r="AK34" t="n">
        <v>0.05</v>
      </c>
    </row>
    <row r="35">
      <c r="A35" t="inlineStr">
        <is>
          <t>JP014</t>
        </is>
      </c>
      <c r="B35" t="inlineStr">
        <is>
          <t>Akihabara Electric Town</t>
        </is>
      </c>
      <c r="C35" t="inlineStr">
        <is>
          <t>Japan</t>
        </is>
      </c>
      <c r="D35" t="inlineStr">
        <is>
          <t>Tokyo</t>
        </is>
      </c>
      <c r="E35" t="n">
        <v>1</v>
      </c>
      <c r="F35" t="inlineStr">
        <is>
          <t>Digital</t>
        </is>
      </c>
      <c r="G35" t="inlineStr">
        <is>
          <t>OOH</t>
        </is>
      </c>
      <c r="H35" t="inlineStr">
        <is>
          <t>LED Screen</t>
        </is>
      </c>
      <c r="I35" t="inlineStr">
        <is>
          <t>Retail: High Street</t>
        </is>
      </c>
      <c r="J35" t="n">
        <v>30</v>
      </c>
      <c r="K35" t="n">
        <v>10</v>
      </c>
      <c r="L35" t="n">
        <v>180000</v>
      </c>
      <c r="M35" t="n">
        <v>100000</v>
      </c>
      <c r="N35" t="n">
        <v>18</v>
      </c>
      <c r="O35" t="n">
        <v>4</v>
      </c>
      <c r="P35" t="n">
        <v>15</v>
      </c>
      <c r="Q35" t="n">
        <v>0.04</v>
      </c>
      <c r="R35" t="n">
        <v>0.4</v>
      </c>
      <c r="S35" t="n">
        <v>0.38</v>
      </c>
      <c r="T35" t="n">
        <v>0.15</v>
      </c>
      <c r="U35" t="n">
        <v>0.05</v>
      </c>
      <c r="V35" t="n">
        <v>0.02</v>
      </c>
      <c r="W35" t="n">
        <v>0.7</v>
      </c>
      <c r="X35" t="n">
        <v>0.3</v>
      </c>
      <c r="Y35" t="n">
        <v>0.25</v>
      </c>
      <c r="Z35" t="n">
        <v>0.5</v>
      </c>
      <c r="AA35" t="n">
        <v>0.22</v>
      </c>
      <c r="AB35" t="n">
        <v>0.03</v>
      </c>
      <c r="AC35" t="n">
        <v>0.28</v>
      </c>
      <c r="AD35" t="n">
        <v>0.25</v>
      </c>
      <c r="AE35" t="n">
        <v>0.7</v>
      </c>
      <c r="AF35" t="n">
        <v>0.32</v>
      </c>
      <c r="AG35" t="n">
        <v>0.25</v>
      </c>
      <c r="AH35" t="n">
        <v>0.55</v>
      </c>
      <c r="AI35" t="n">
        <v>0.15</v>
      </c>
      <c r="AJ35" t="n">
        <v>0.3</v>
      </c>
      <c r="AK35" t="n">
        <v>0.2</v>
      </c>
    </row>
    <row r="36">
      <c r="A36" t="inlineStr">
        <is>
          <t>JP015</t>
        </is>
      </c>
      <c r="B36" t="inlineStr">
        <is>
          <t>Haneda Airport T3</t>
        </is>
      </c>
      <c r="C36" t="inlineStr">
        <is>
          <t>Japan</t>
        </is>
      </c>
      <c r="D36" t="inlineStr">
        <is>
          <t>Tokyo</t>
        </is>
      </c>
      <c r="E36" t="n">
        <v>1</v>
      </c>
      <c r="F36" t="inlineStr">
        <is>
          <t>Digital</t>
        </is>
      </c>
      <c r="G36" t="inlineStr">
        <is>
          <t>Transit</t>
        </is>
      </c>
      <c r="H36" t="inlineStr">
        <is>
          <t>Airport Digital</t>
        </is>
      </c>
      <c r="I36" t="inlineStr">
        <is>
          <t>Transit: Airport</t>
        </is>
      </c>
      <c r="J36" t="n">
        <v>52</v>
      </c>
      <c r="K36" t="n">
        <v>18</v>
      </c>
      <c r="L36" t="n">
        <v>220000</v>
      </c>
      <c r="M36" t="n">
        <v>185000</v>
      </c>
      <c r="N36" t="n">
        <v>22</v>
      </c>
      <c r="O36" t="n">
        <v>4</v>
      </c>
      <c r="P36" t="n">
        <v>15</v>
      </c>
      <c r="Q36" t="n">
        <v>0.048</v>
      </c>
      <c r="R36" t="n">
        <v>0.2</v>
      </c>
      <c r="S36" t="n">
        <v>0.3</v>
      </c>
      <c r="T36" t="n">
        <v>0.3</v>
      </c>
      <c r="U36" t="n">
        <v>0.14</v>
      </c>
      <c r="V36" t="n">
        <v>0.06</v>
      </c>
      <c r="W36" t="n">
        <v>0.54</v>
      </c>
      <c r="X36" t="n">
        <v>0.46</v>
      </c>
      <c r="Y36" t="n">
        <v>0.08</v>
      </c>
      <c r="Z36" t="n">
        <v>0.32</v>
      </c>
      <c r="AA36" t="n">
        <v>0.48</v>
      </c>
      <c r="AB36" t="n">
        <v>0.12</v>
      </c>
      <c r="AC36" t="n">
        <v>0.75</v>
      </c>
      <c r="AD36" t="n">
        <v>0.22</v>
      </c>
      <c r="AE36" t="n">
        <v>0.18</v>
      </c>
      <c r="AF36" t="n">
        <v>0.2</v>
      </c>
      <c r="AG36" t="n">
        <v>0.05</v>
      </c>
      <c r="AH36" t="n">
        <v>0.1</v>
      </c>
      <c r="AI36" t="n">
        <v>0.45</v>
      </c>
      <c r="AJ36" t="n">
        <v>0.85</v>
      </c>
      <c r="AK36" t="n">
        <v>0.05</v>
      </c>
    </row>
    <row r="37">
      <c r="A37" t="inlineStr">
        <is>
          <t>JP016</t>
        </is>
      </c>
      <c r="B37" t="inlineStr">
        <is>
          <t>Tokyo Metro Marunouchi</t>
        </is>
      </c>
      <c r="C37" t="inlineStr">
        <is>
          <t>Japan</t>
        </is>
      </c>
      <c r="D37" t="inlineStr">
        <is>
          <t>Tokyo</t>
        </is>
      </c>
      <c r="E37" t="n">
        <v>1</v>
      </c>
      <c r="F37" t="inlineStr">
        <is>
          <t>Classic</t>
        </is>
      </c>
      <c r="G37" t="inlineStr">
        <is>
          <t>Transit</t>
        </is>
      </c>
      <c r="H37" t="inlineStr">
        <is>
          <t>Station Poster</t>
        </is>
      </c>
      <c r="I37" t="inlineStr">
        <is>
          <t>Transit: Rail/Metro Station</t>
        </is>
      </c>
      <c r="J37" t="n">
        <v>12</v>
      </c>
      <c r="K37" t="n">
        <v>0</v>
      </c>
      <c r="L37" t="n">
        <v>380000</v>
      </c>
      <c r="M37" t="n">
        <v>190000</v>
      </c>
      <c r="N37" t="n">
        <v>20</v>
      </c>
      <c r="O37" t="n">
        <v>0</v>
      </c>
      <c r="P37" t="n">
        <v>0</v>
      </c>
      <c r="Q37" t="n">
        <v>0</v>
      </c>
      <c r="R37" t="n">
        <v>0.28</v>
      </c>
      <c r="S37" t="n">
        <v>0.42</v>
      </c>
      <c r="T37" t="n">
        <v>0.2</v>
      </c>
      <c r="U37" t="n">
        <v>0.07000000000000001</v>
      </c>
      <c r="V37" t="n">
        <v>0.03</v>
      </c>
      <c r="W37" t="n">
        <v>0.5</v>
      </c>
      <c r="X37" t="n">
        <v>0.5</v>
      </c>
      <c r="Y37" t="n">
        <v>0.22</v>
      </c>
      <c r="Z37" t="n">
        <v>0.55</v>
      </c>
      <c r="AA37" t="n">
        <v>0.2</v>
      </c>
      <c r="AB37" t="n">
        <v>0.03</v>
      </c>
      <c r="AC37" t="n">
        <v>0.32</v>
      </c>
      <c r="AD37" t="n">
        <v>0.35</v>
      </c>
      <c r="AE37" t="n">
        <v>0.3</v>
      </c>
      <c r="AF37" t="n">
        <v>0.28</v>
      </c>
      <c r="AG37" t="n">
        <v>0.78</v>
      </c>
      <c r="AH37" t="n">
        <v>0.12</v>
      </c>
      <c r="AI37" t="n">
        <v>0.38</v>
      </c>
      <c r="AJ37" t="n">
        <v>0.12</v>
      </c>
      <c r="AK37" t="n">
        <v>0.18</v>
      </c>
    </row>
    <row r="38">
      <c r="A38" t="inlineStr">
        <is>
          <t>JP017</t>
        </is>
      </c>
      <c r="B38" t="inlineStr">
        <is>
          <t>Tomei Expressway Billboard</t>
        </is>
      </c>
      <c r="C38" t="inlineStr">
        <is>
          <t>Japan</t>
        </is>
      </c>
      <c r="D38" t="inlineStr">
        <is>
          <t>Tokyo</t>
        </is>
      </c>
      <c r="E38" t="n">
        <v>1</v>
      </c>
      <c r="F38" t="inlineStr">
        <is>
          <t>Classic</t>
        </is>
      </c>
      <c r="G38" t="inlineStr">
        <is>
          <t>OOH</t>
        </is>
      </c>
      <c r="H38" t="inlineStr">
        <is>
          <t>Bulletin</t>
        </is>
      </c>
      <c r="I38" t="inlineStr">
        <is>
          <t>Billboard: Highway</t>
        </is>
      </c>
      <c r="J38" t="n">
        <v>15</v>
      </c>
      <c r="K38" t="n">
        <v>0</v>
      </c>
      <c r="L38" t="n">
        <v>250000</v>
      </c>
      <c r="M38" t="n">
        <v>200000</v>
      </c>
      <c r="N38" t="n">
        <v>24</v>
      </c>
      <c r="O38" t="n">
        <v>0</v>
      </c>
      <c r="P38" t="n">
        <v>0</v>
      </c>
      <c r="Q38" t="n">
        <v>0</v>
      </c>
      <c r="R38" t="n">
        <v>0.2</v>
      </c>
      <c r="S38" t="n">
        <v>0.35</v>
      </c>
      <c r="T38" t="n">
        <v>0.3</v>
      </c>
      <c r="U38" t="n">
        <v>0.1</v>
      </c>
      <c r="V38" t="n">
        <v>0.05</v>
      </c>
      <c r="W38" t="n">
        <v>0.62</v>
      </c>
      <c r="X38" t="n">
        <v>0.38</v>
      </c>
      <c r="Y38" t="n">
        <v>0.18</v>
      </c>
      <c r="Z38" t="n">
        <v>0.48</v>
      </c>
      <c r="AA38" t="n">
        <v>0.28</v>
      </c>
      <c r="AB38" t="n">
        <v>0.06</v>
      </c>
      <c r="AC38" t="n">
        <v>0.28</v>
      </c>
      <c r="AD38" t="n">
        <v>0.22</v>
      </c>
      <c r="AE38" t="n">
        <v>0.28</v>
      </c>
      <c r="AF38" t="n">
        <v>0.25</v>
      </c>
      <c r="AG38" t="n">
        <v>0.72</v>
      </c>
      <c r="AH38" t="n">
        <v>0.1</v>
      </c>
      <c r="AI38" t="n">
        <v>0.32</v>
      </c>
      <c r="AJ38" t="n">
        <v>0.05</v>
      </c>
      <c r="AK38" t="n">
        <v>0.3</v>
      </c>
    </row>
    <row r="39">
      <c r="A39" t="inlineStr">
        <is>
          <t>JP018</t>
        </is>
      </c>
      <c r="B39" t="inlineStr">
        <is>
          <t>Osaka Loop Train Wrap</t>
        </is>
      </c>
      <c r="C39" t="inlineStr">
        <is>
          <t>Japan</t>
        </is>
      </c>
      <c r="D39" t="inlineStr">
        <is>
          <t>Osaka</t>
        </is>
      </c>
      <c r="E39" t="n">
        <v>1</v>
      </c>
      <c r="F39" t="inlineStr">
        <is>
          <t>Classic</t>
        </is>
      </c>
      <c r="G39" t="inlineStr">
        <is>
          <t>Transit</t>
        </is>
      </c>
      <c r="H39" t="inlineStr">
        <is>
          <t>Train Wrap</t>
        </is>
      </c>
      <c r="I39" t="inlineStr">
        <is>
          <t>Transit: Rail/Metro Station</t>
        </is>
      </c>
      <c r="J39" t="n">
        <v>22</v>
      </c>
      <c r="K39" t="n">
        <v>0</v>
      </c>
      <c r="L39" t="n">
        <v>450000</v>
      </c>
      <c r="M39" t="n">
        <v>280000</v>
      </c>
      <c r="N39" t="n">
        <v>18</v>
      </c>
      <c r="O39" t="n">
        <v>0</v>
      </c>
      <c r="P39" t="n">
        <v>0</v>
      </c>
      <c r="Q39" t="n">
        <v>0</v>
      </c>
      <c r="R39" t="n">
        <v>0.3</v>
      </c>
      <c r="S39" t="n">
        <v>0.38</v>
      </c>
      <c r="T39" t="n">
        <v>0.2</v>
      </c>
      <c r="U39" t="n">
        <v>0.08</v>
      </c>
      <c r="V39" t="n">
        <v>0.04</v>
      </c>
      <c r="W39" t="n">
        <v>0.5</v>
      </c>
      <c r="X39" t="n">
        <v>0.5</v>
      </c>
      <c r="Y39" t="n">
        <v>0.25</v>
      </c>
      <c r="Z39" t="n">
        <v>0.52</v>
      </c>
      <c r="AA39" t="n">
        <v>0.2</v>
      </c>
      <c r="AB39" t="n">
        <v>0.03</v>
      </c>
      <c r="AC39" t="n">
        <v>0.35</v>
      </c>
      <c r="AD39" t="n">
        <v>0.38</v>
      </c>
      <c r="AE39" t="n">
        <v>0.28</v>
      </c>
      <c r="AF39" t="n">
        <v>0.32</v>
      </c>
      <c r="AG39" t="n">
        <v>0.72</v>
      </c>
      <c r="AH39" t="n">
        <v>0.18</v>
      </c>
      <c r="AI39" t="n">
        <v>0.28</v>
      </c>
      <c r="AJ39" t="n">
        <v>0.15</v>
      </c>
      <c r="AK39" t="n">
        <v>0.2</v>
      </c>
    </row>
    <row r="40">
      <c r="A40" t="inlineStr">
        <is>
          <t>JP019</t>
        </is>
      </c>
      <c r="B40" t="inlineStr">
        <is>
          <t>J-Wave 81.3FM</t>
        </is>
      </c>
      <c r="C40" t="inlineStr">
        <is>
          <t>Japan</t>
        </is>
      </c>
      <c r="D40" t="inlineStr">
        <is>
          <t>Tokyo</t>
        </is>
      </c>
      <c r="E40" t="n">
        <v>1</v>
      </c>
      <c r="F40" t="inlineStr">
        <is>
          <t>Audio</t>
        </is>
      </c>
      <c r="G40" t="inlineStr">
        <is>
          <t>Radio</t>
        </is>
      </c>
      <c r="H40" t="inlineStr">
        <is>
          <t>AM/FM Radio Spot</t>
        </is>
      </c>
      <c r="I40" t="inlineStr">
        <is>
          <t>Audio: Radio</t>
        </is>
      </c>
      <c r="J40" t="n">
        <v>7</v>
      </c>
      <c r="K40" t="n">
        <v>3</v>
      </c>
      <c r="L40" t="n">
        <v>800000</v>
      </c>
      <c r="M40" t="n">
        <v>400000</v>
      </c>
      <c r="N40" t="n">
        <v>24</v>
      </c>
      <c r="O40" t="n">
        <v>0</v>
      </c>
      <c r="P40" t="n">
        <v>30</v>
      </c>
      <c r="Q40" t="n">
        <v>0.002</v>
      </c>
      <c r="R40" t="n">
        <v>0.22</v>
      </c>
      <c r="S40" t="n">
        <v>0.38</v>
      </c>
      <c r="T40" t="n">
        <v>0.25</v>
      </c>
      <c r="U40" t="n">
        <v>0.1</v>
      </c>
      <c r="V40" t="n">
        <v>0.05</v>
      </c>
      <c r="W40" t="n">
        <v>0.5</v>
      </c>
      <c r="X40" t="n">
        <v>0.5</v>
      </c>
      <c r="Y40" t="n">
        <v>0.12</v>
      </c>
      <c r="Z40" t="n">
        <v>0.45</v>
      </c>
      <c r="AA40" t="n">
        <v>0.38</v>
      </c>
      <c r="AB40" t="n">
        <v>0.05</v>
      </c>
      <c r="AC40" t="n">
        <v>0.32</v>
      </c>
      <c r="AD40" t="n">
        <v>0.4</v>
      </c>
      <c r="AE40" t="n">
        <v>0.35</v>
      </c>
      <c r="AF40" t="n">
        <v>0.32</v>
      </c>
      <c r="AG40" t="n">
        <v>0.5</v>
      </c>
      <c r="AH40" t="n">
        <v>0.25</v>
      </c>
      <c r="AI40" t="n">
        <v>0.4</v>
      </c>
      <c r="AJ40" t="n">
        <v>0.15</v>
      </c>
      <c r="AK40" t="n">
        <v>0.18</v>
      </c>
    </row>
    <row r="41">
      <c r="A41" t="inlineStr">
        <is>
          <t>JP020</t>
        </is>
      </c>
      <c r="B41" t="inlineStr">
        <is>
          <t>FM Yokohama 84.7</t>
        </is>
      </c>
      <c r="C41" t="inlineStr">
        <is>
          <t>Japan</t>
        </is>
      </c>
      <c r="D41" t="inlineStr">
        <is>
          <t>Yokohama</t>
        </is>
      </c>
      <c r="E41" t="n">
        <v>2</v>
      </c>
      <c r="F41" t="inlineStr">
        <is>
          <t>Audio</t>
        </is>
      </c>
      <c r="G41" t="inlineStr">
        <is>
          <t>Radio</t>
        </is>
      </c>
      <c r="H41" t="inlineStr">
        <is>
          <t>AM/FM Radio Spot</t>
        </is>
      </c>
      <c r="I41" t="inlineStr">
        <is>
          <t>Audio: Radio</t>
        </is>
      </c>
      <c r="J41" t="n">
        <v>5.5</v>
      </c>
      <c r="K41" t="n">
        <v>2</v>
      </c>
      <c r="L41" t="n">
        <v>550000</v>
      </c>
      <c r="M41" t="n">
        <v>280000</v>
      </c>
      <c r="N41" t="n">
        <v>24</v>
      </c>
      <c r="O41" t="n">
        <v>0</v>
      </c>
      <c r="P41" t="n">
        <v>30</v>
      </c>
      <c r="Q41" t="n">
        <v>0.002</v>
      </c>
      <c r="R41" t="n">
        <v>0.25</v>
      </c>
      <c r="S41" t="n">
        <v>0.35</v>
      </c>
      <c r="T41" t="n">
        <v>0.25</v>
      </c>
      <c r="U41" t="n">
        <v>0.1</v>
      </c>
      <c r="V41" t="n">
        <v>0.05</v>
      </c>
      <c r="W41" t="n">
        <v>0.48</v>
      </c>
      <c r="X41" t="n">
        <v>0.52</v>
      </c>
      <c r="Y41" t="n">
        <v>0.18</v>
      </c>
      <c r="Z41" t="n">
        <v>0.5</v>
      </c>
      <c r="AA41" t="n">
        <v>0.28</v>
      </c>
      <c r="AB41" t="n">
        <v>0.04</v>
      </c>
      <c r="AC41" t="n">
        <v>0.35</v>
      </c>
      <c r="AD41" t="n">
        <v>0.38</v>
      </c>
      <c r="AE41" t="n">
        <v>0.3</v>
      </c>
      <c r="AF41" t="n">
        <v>0.35</v>
      </c>
      <c r="AG41" t="n">
        <v>0.52</v>
      </c>
      <c r="AH41" t="n">
        <v>0.28</v>
      </c>
      <c r="AI41" t="n">
        <v>0.35</v>
      </c>
      <c r="AJ41" t="n">
        <v>0.18</v>
      </c>
      <c r="AK41" t="n">
        <v>0.22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4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2" t="inlineStr">
        <is>
          <t>INVENTORY SCORING - 8 FACTORS (with filters)</t>
        </is>
      </c>
    </row>
    <row r="2">
      <c r="A2" s="13" t="inlineStr">
        <is>
          <t>Scores are calculated only for inventories matching Country, City, Venue, and Classification filters. Non-matching rows show 0.</t>
        </is>
      </c>
    </row>
    <row r="4">
      <c r="A4" s="14" t="inlineStr">
        <is>
          <t>ID</t>
        </is>
      </c>
      <c r="B4" s="14" t="inlineStr">
        <is>
          <t>Name</t>
        </is>
      </c>
      <c r="C4" s="14" t="inlineStr">
        <is>
          <t>City</t>
        </is>
      </c>
      <c r="D4" s="14" t="inlineStr">
        <is>
          <t>Tier</t>
        </is>
      </c>
      <c r="E4" s="14" t="inlineStr">
        <is>
          <t>Filter Match</t>
        </is>
      </c>
      <c r="F4" s="14" t="inlineStr">
        <is>
          <t>Country</t>
        </is>
      </c>
      <c r="G4" s="14" t="inlineStr">
        <is>
          <t>Geo Fit</t>
        </is>
      </c>
      <c r="H4" s="14" t="inlineStr">
        <is>
          <t>Availability</t>
        </is>
      </c>
      <c r="I4" s="14" t="inlineStr">
        <is>
          <t>Budget Fit</t>
        </is>
      </c>
      <c r="J4" s="14" t="inlineStr">
        <is>
          <t>Audience Fit</t>
        </is>
      </c>
      <c r="K4" s="14" t="inlineStr">
        <is>
          <t>Brand Fit</t>
        </is>
      </c>
      <c r="L4" s="14" t="inlineStr">
        <is>
          <t>Quality</t>
        </is>
      </c>
      <c r="M4" s="14" t="inlineStr">
        <is>
          <t>Time Fit</t>
        </is>
      </c>
      <c r="N4" s="14" t="inlineStr">
        <is>
          <t>FINAL SCORE</t>
        </is>
      </c>
      <c r="O4" s="14" t="inlineStr">
        <is>
          <t>RANK</t>
        </is>
      </c>
      <c r="P4" s="15" t="inlineStr">
        <is>
          <t>Digital Rank</t>
        </is>
      </c>
      <c r="Q4" s="16" t="inlineStr">
        <is>
          <t>Classic Rank</t>
        </is>
      </c>
      <c r="R4" s="17" t="inlineStr">
        <is>
          <t>Audio Rank</t>
        </is>
      </c>
    </row>
    <row r="5">
      <c r="A5">
        <f>'2_Inventory_Data'!A2</f>
        <v/>
      </c>
      <c r="B5">
        <f>'2_Inventory_Data'!B2</f>
        <v/>
      </c>
      <c r="C5">
        <f>'2_Inventory_Data'!D2</f>
        <v/>
      </c>
      <c r="D5">
        <f>'2_Inventory_Data'!E2</f>
        <v/>
      </c>
      <c r="E5">
        <f>IF(AND('2_Inventory_Data'!C2='1_Inputs'!$B$5,OR('1_Inputs'!$B$6="All Cities",'2_Inventory_Data'!D2='1_Inputs'!$B$6),OR('1_Inputs'!$B$14="All Venues",'2_Inventory_Data'!I2='1_Inputs'!$B$14),OR('1_Inputs'!$B$15="All",'2_Inventory_Data'!F2='1_Inputs'!$B$15),OR('1_Inputs'!$B$16="All",'2_Inventory_Data'!G2='1_Inputs'!$B$16)),"MATCH","FILTERED")</f>
        <v/>
      </c>
      <c r="F5">
        <f>IF(E5="MATCH",100,0)</f>
        <v/>
      </c>
      <c r="G5">
        <f>IF(E5="MATCH",IF(D5=1,100,IF(D5=2,85,70)),0)</f>
        <v/>
      </c>
      <c r="H5">
        <f>IF(E5="MATCH",80+MOD(ROW(),21),0)</f>
        <v/>
      </c>
      <c r="I5">
        <f>IF(E5="MATCH",MAX(0,100-'2_Inventory_Data'!J2*0.3),0)</f>
        <v/>
      </c>
      <c r="J5">
        <f>IF(E5="FILTERED",0,ROUND((IF('1_Inputs'!$E$5="All Ages",50,IF('1_Inputs'!$E$5="25-44",('2_Inventory_Data'!S2+'2_Inventory_Data'!T2)*100,IF('1_Inputs'!$E$5="18-24",'2_Inventory_Data'!R2*100,IF('1_Inputs'!$E$5="25-34",'2_Inventory_Data'!S2*100,IF('1_Inputs'!$E$5="35-44",'2_Inventory_Data'!T2*100,IF('1_Inputs'!$E$5="45-54",'2_Inventory_Data'!U2*100,IF('1_Inputs'!$E$5="55+",'2_Inventory_Data'!V2*100,50)))))))+IF('1_Inputs'!$E$8="All",50,IF('1_Inputs'!$E$8="Travel",'2_Inventory_Data'!AC2*100,IF('1_Inputs'!$E$8="Fashion",'2_Inventory_Data'!AD2*100,IF('1_Inputs'!$E$8="Technology",'2_Inventory_Data'!AE2*100,IF('1_Inputs'!$E$8="Food &amp; Beverage",'2_Inventory_Data'!AF2*100,50)))))+IF('1_Inputs'!$E$9="All",50,IF('1_Inputs'!$E$9="Commuters",'2_Inventory_Data'!AG2*100,IF('1_Inputs'!$E$9="Shoppers",'2_Inventory_Data'!AH2*100,IF('1_Inputs'!$E$9="Business Travelers",'2_Inventory_Data'!AI2*100,IF('1_Inputs'!$E$9="Tourists",'2_Inventory_Data'!AJ2*100,50))))))/3,1))</f>
        <v/>
      </c>
      <c r="K5">
        <f>IF(E5="FILTERED",0,IF(OR('2_Inventory_Data'!I2="Transit: Airport",'2_Inventory_Data'!I2="Transit: Rail/Metro Station"),90,IF('2_Inventory_Data'!I2="Retail: Shopping Center",75,65)))</f>
        <v/>
      </c>
      <c r="L5">
        <f>IF(E5="FILTERED",0,MIN(100,'2_Inventory_Data'!L2/5000))</f>
        <v/>
      </c>
      <c r="M5">
        <f>IF(E5="FILTERED",0,MIN(100,'2_Inventory_Data'!N2*4.5))</f>
        <v/>
      </c>
      <c r="N5">
        <f>IF(E5="FILTERED",0,ROUND(G5*0.15+H5*0.10+I5*0.18+J5*0.22+K5*0.10+L5*0.10+M5*0.10+F5*0.05,1))</f>
        <v/>
      </c>
      <c r="O5">
        <f>IF(N5=0,"",RANK(N5,$N$5:$N$44,0))</f>
        <v/>
      </c>
      <c r="P5">
        <f>IF(OR(E5="FILTERED",'2_Inventory_Data'!F2&lt;&gt;"Digital"),"",COUNTIFS($E$5:$E$44,"MATCH",'2_Inventory_Data'!$F$2:$F$41,"Digital",$N$5:$N$44,"&gt;"&amp;N5)+1)</f>
        <v/>
      </c>
      <c r="Q5">
        <f>IF(OR(E5="FILTERED",'2_Inventory_Data'!F2&lt;&gt;"Classic"),"",COUNTIFS($E$5:$E$44,"MATCH",'2_Inventory_Data'!$F$2:$F$41,"Classic",$N$5:$N$44,"&gt;"&amp;N5)+1)</f>
        <v/>
      </c>
      <c r="R5">
        <f>IF(OR(E5="FILTERED",'2_Inventory_Data'!F2&lt;&gt;"Audio"),"",COUNTIFS($E$5:$E$44,"MATCH",'2_Inventory_Data'!$F$2:$F$41,"Audio",$N$5:$N$44,"&gt;"&amp;N5)+1)</f>
        <v/>
      </c>
    </row>
    <row r="6">
      <c r="A6">
        <f>'2_Inventory_Data'!A3</f>
        <v/>
      </c>
      <c r="B6">
        <f>'2_Inventory_Data'!B3</f>
        <v/>
      </c>
      <c r="C6">
        <f>'2_Inventory_Data'!D3</f>
        <v/>
      </c>
      <c r="D6">
        <f>'2_Inventory_Data'!E3</f>
        <v/>
      </c>
      <c r="E6">
        <f>IF(AND('2_Inventory_Data'!C3='1_Inputs'!$B$5,OR('1_Inputs'!$B$6="All Cities",'2_Inventory_Data'!D3='1_Inputs'!$B$6),OR('1_Inputs'!$B$14="All Venues",'2_Inventory_Data'!I3='1_Inputs'!$B$14),OR('1_Inputs'!$B$15="All",'2_Inventory_Data'!F3='1_Inputs'!$B$15),OR('1_Inputs'!$B$16="All",'2_Inventory_Data'!G3='1_Inputs'!$B$16)),"MATCH","FILTERED")</f>
        <v/>
      </c>
      <c r="F6">
        <f>IF(E6="MATCH",100,0)</f>
        <v/>
      </c>
      <c r="G6">
        <f>IF(E6="MATCH",IF(D6=1,100,IF(D6=2,85,70)),0)</f>
        <v/>
      </c>
      <c r="H6">
        <f>IF(E6="MATCH",80+MOD(ROW(),21),0)</f>
        <v/>
      </c>
      <c r="I6">
        <f>IF(E6="MATCH",MAX(0,100-'2_Inventory_Data'!J3*0.3),0)</f>
        <v/>
      </c>
      <c r="J6">
        <f>IF(E6="FILTERED",0,ROUND((IF('1_Inputs'!$E$5="All Ages",50,IF('1_Inputs'!$E$5="25-44",('2_Inventory_Data'!S3+'2_Inventory_Data'!T3)*100,IF('1_Inputs'!$E$5="18-24",'2_Inventory_Data'!R3*100,IF('1_Inputs'!$E$5="25-34",'2_Inventory_Data'!S3*100,IF('1_Inputs'!$E$5="35-44",'2_Inventory_Data'!T3*100,IF('1_Inputs'!$E$5="45-54",'2_Inventory_Data'!U3*100,IF('1_Inputs'!$E$5="55+",'2_Inventory_Data'!V3*100,50)))))))+IF('1_Inputs'!$E$8="All",50,IF('1_Inputs'!$E$8="Travel",'2_Inventory_Data'!AC3*100,IF('1_Inputs'!$E$8="Fashion",'2_Inventory_Data'!AD3*100,IF('1_Inputs'!$E$8="Technology",'2_Inventory_Data'!AE3*100,IF('1_Inputs'!$E$8="Food &amp; Beverage",'2_Inventory_Data'!AF3*100,50)))))+IF('1_Inputs'!$E$9="All",50,IF('1_Inputs'!$E$9="Commuters",'2_Inventory_Data'!AG3*100,IF('1_Inputs'!$E$9="Shoppers",'2_Inventory_Data'!AH3*100,IF('1_Inputs'!$E$9="Business Travelers",'2_Inventory_Data'!AI3*100,IF('1_Inputs'!$E$9="Tourists",'2_Inventory_Data'!AJ3*100,50))))))/3,1))</f>
        <v/>
      </c>
      <c r="K6">
        <f>IF(E6="FILTERED",0,IF(OR('2_Inventory_Data'!I3="Transit: Airport",'2_Inventory_Data'!I3="Transit: Rail/Metro Station"),90,IF('2_Inventory_Data'!I3="Retail: Shopping Center",75,65)))</f>
        <v/>
      </c>
      <c r="L6">
        <f>IF(E6="FILTERED",0,MIN(100,'2_Inventory_Data'!L3/5000))</f>
        <v/>
      </c>
      <c r="M6">
        <f>IF(E6="FILTERED",0,MIN(100,'2_Inventory_Data'!N3*4.5))</f>
        <v/>
      </c>
      <c r="N6">
        <f>IF(E6="FILTERED",0,ROUND(G6*0.15+H6*0.10+I6*0.18+J6*0.22+K6*0.10+L6*0.10+M6*0.10+F6*0.05,1))</f>
        <v/>
      </c>
      <c r="O6">
        <f>IF(N6=0,"",RANK(N6,$N$5:$N$44,0))</f>
        <v/>
      </c>
      <c r="P6">
        <f>IF(OR(E6="FILTERED",'2_Inventory_Data'!F3&lt;&gt;"Digital"),"",COUNTIFS($E$5:$E$44,"MATCH",'2_Inventory_Data'!$F$2:$F$41,"Digital",$N$5:$N$44,"&gt;"&amp;N6)+1)</f>
        <v/>
      </c>
      <c r="Q6">
        <f>IF(OR(E6="FILTERED",'2_Inventory_Data'!F3&lt;&gt;"Classic"),"",COUNTIFS($E$5:$E$44,"MATCH",'2_Inventory_Data'!$F$2:$F$41,"Classic",$N$5:$N$44,"&gt;"&amp;N6)+1)</f>
        <v/>
      </c>
      <c r="R6">
        <f>IF(OR(E6="FILTERED",'2_Inventory_Data'!F3&lt;&gt;"Audio"),"",COUNTIFS($E$5:$E$44,"MATCH",'2_Inventory_Data'!$F$2:$F$41,"Audio",$N$5:$N$44,"&gt;"&amp;N6)+1)</f>
        <v/>
      </c>
    </row>
    <row r="7">
      <c r="A7">
        <f>'2_Inventory_Data'!A4</f>
        <v/>
      </c>
      <c r="B7">
        <f>'2_Inventory_Data'!B4</f>
        <v/>
      </c>
      <c r="C7">
        <f>'2_Inventory_Data'!D4</f>
        <v/>
      </c>
      <c r="D7">
        <f>'2_Inventory_Data'!E4</f>
        <v/>
      </c>
      <c r="E7">
        <f>IF(AND('2_Inventory_Data'!C4='1_Inputs'!$B$5,OR('1_Inputs'!$B$6="All Cities",'2_Inventory_Data'!D4='1_Inputs'!$B$6),OR('1_Inputs'!$B$14="All Venues",'2_Inventory_Data'!I4='1_Inputs'!$B$14),OR('1_Inputs'!$B$15="All",'2_Inventory_Data'!F4='1_Inputs'!$B$15),OR('1_Inputs'!$B$16="All",'2_Inventory_Data'!G4='1_Inputs'!$B$16)),"MATCH","FILTERED")</f>
        <v/>
      </c>
      <c r="F7">
        <f>IF(E7="MATCH",100,0)</f>
        <v/>
      </c>
      <c r="G7">
        <f>IF(E7="MATCH",IF(D7=1,100,IF(D7=2,85,70)),0)</f>
        <v/>
      </c>
      <c r="H7">
        <f>IF(E7="MATCH",80+MOD(ROW(),21),0)</f>
        <v/>
      </c>
      <c r="I7">
        <f>IF(E7="MATCH",MAX(0,100-'2_Inventory_Data'!J4*0.3),0)</f>
        <v/>
      </c>
      <c r="J7">
        <f>IF(E7="FILTERED",0,ROUND((IF('1_Inputs'!$E$5="All Ages",50,IF('1_Inputs'!$E$5="25-44",('2_Inventory_Data'!S4+'2_Inventory_Data'!T4)*100,IF('1_Inputs'!$E$5="18-24",'2_Inventory_Data'!R4*100,IF('1_Inputs'!$E$5="25-34",'2_Inventory_Data'!S4*100,IF('1_Inputs'!$E$5="35-44",'2_Inventory_Data'!T4*100,IF('1_Inputs'!$E$5="45-54",'2_Inventory_Data'!U4*100,IF('1_Inputs'!$E$5="55+",'2_Inventory_Data'!V4*100,50)))))))+IF('1_Inputs'!$E$8="All",50,IF('1_Inputs'!$E$8="Travel",'2_Inventory_Data'!AC4*100,IF('1_Inputs'!$E$8="Fashion",'2_Inventory_Data'!AD4*100,IF('1_Inputs'!$E$8="Technology",'2_Inventory_Data'!AE4*100,IF('1_Inputs'!$E$8="Food &amp; Beverage",'2_Inventory_Data'!AF4*100,50)))))+IF('1_Inputs'!$E$9="All",50,IF('1_Inputs'!$E$9="Commuters",'2_Inventory_Data'!AG4*100,IF('1_Inputs'!$E$9="Shoppers",'2_Inventory_Data'!AH4*100,IF('1_Inputs'!$E$9="Business Travelers",'2_Inventory_Data'!AI4*100,IF('1_Inputs'!$E$9="Tourists",'2_Inventory_Data'!AJ4*100,50))))))/3,1))</f>
        <v/>
      </c>
      <c r="K7">
        <f>IF(E7="FILTERED",0,IF(OR('2_Inventory_Data'!I4="Transit: Airport",'2_Inventory_Data'!I4="Transit: Rail/Metro Station"),90,IF('2_Inventory_Data'!I4="Retail: Shopping Center",75,65)))</f>
        <v/>
      </c>
      <c r="L7">
        <f>IF(E7="FILTERED",0,MIN(100,'2_Inventory_Data'!L4/5000))</f>
        <v/>
      </c>
      <c r="M7">
        <f>IF(E7="FILTERED",0,MIN(100,'2_Inventory_Data'!N4*4.5))</f>
        <v/>
      </c>
      <c r="N7">
        <f>IF(E7="FILTERED",0,ROUND(G7*0.15+H7*0.10+I7*0.18+J7*0.22+K7*0.10+L7*0.10+M7*0.10+F7*0.05,1))</f>
        <v/>
      </c>
      <c r="O7">
        <f>IF(N7=0,"",RANK(N7,$N$5:$N$44,0))</f>
        <v/>
      </c>
      <c r="P7">
        <f>IF(OR(E7="FILTERED",'2_Inventory_Data'!F4&lt;&gt;"Digital"),"",COUNTIFS($E$5:$E$44,"MATCH",'2_Inventory_Data'!$F$2:$F$41,"Digital",$N$5:$N$44,"&gt;"&amp;N7)+1)</f>
        <v/>
      </c>
      <c r="Q7">
        <f>IF(OR(E7="FILTERED",'2_Inventory_Data'!F4&lt;&gt;"Classic"),"",COUNTIFS($E$5:$E$44,"MATCH",'2_Inventory_Data'!$F$2:$F$41,"Classic",$N$5:$N$44,"&gt;"&amp;N7)+1)</f>
        <v/>
      </c>
      <c r="R7">
        <f>IF(OR(E7="FILTERED",'2_Inventory_Data'!F4&lt;&gt;"Audio"),"",COUNTIFS($E$5:$E$44,"MATCH",'2_Inventory_Data'!$F$2:$F$41,"Audio",$N$5:$N$44,"&gt;"&amp;N7)+1)</f>
        <v/>
      </c>
    </row>
    <row r="8">
      <c r="A8">
        <f>'2_Inventory_Data'!A5</f>
        <v/>
      </c>
      <c r="B8">
        <f>'2_Inventory_Data'!B5</f>
        <v/>
      </c>
      <c r="C8">
        <f>'2_Inventory_Data'!D5</f>
        <v/>
      </c>
      <c r="D8">
        <f>'2_Inventory_Data'!E5</f>
        <v/>
      </c>
      <c r="E8">
        <f>IF(AND('2_Inventory_Data'!C5='1_Inputs'!$B$5,OR('1_Inputs'!$B$6="All Cities",'2_Inventory_Data'!D5='1_Inputs'!$B$6),OR('1_Inputs'!$B$14="All Venues",'2_Inventory_Data'!I5='1_Inputs'!$B$14),OR('1_Inputs'!$B$15="All",'2_Inventory_Data'!F5='1_Inputs'!$B$15),OR('1_Inputs'!$B$16="All",'2_Inventory_Data'!G5='1_Inputs'!$B$16)),"MATCH","FILTERED")</f>
        <v/>
      </c>
      <c r="F8">
        <f>IF(E8="MATCH",100,0)</f>
        <v/>
      </c>
      <c r="G8">
        <f>IF(E8="MATCH",IF(D8=1,100,IF(D8=2,85,70)),0)</f>
        <v/>
      </c>
      <c r="H8">
        <f>IF(E8="MATCH",80+MOD(ROW(),21),0)</f>
        <v/>
      </c>
      <c r="I8">
        <f>IF(E8="MATCH",MAX(0,100-'2_Inventory_Data'!J5*0.3),0)</f>
        <v/>
      </c>
      <c r="J8">
        <f>IF(E8="FILTERED",0,ROUND((IF('1_Inputs'!$E$5="All Ages",50,IF('1_Inputs'!$E$5="25-44",('2_Inventory_Data'!S5+'2_Inventory_Data'!T5)*100,IF('1_Inputs'!$E$5="18-24",'2_Inventory_Data'!R5*100,IF('1_Inputs'!$E$5="25-34",'2_Inventory_Data'!S5*100,IF('1_Inputs'!$E$5="35-44",'2_Inventory_Data'!T5*100,IF('1_Inputs'!$E$5="45-54",'2_Inventory_Data'!U5*100,IF('1_Inputs'!$E$5="55+",'2_Inventory_Data'!V5*100,50)))))))+IF('1_Inputs'!$E$8="All",50,IF('1_Inputs'!$E$8="Travel",'2_Inventory_Data'!AC5*100,IF('1_Inputs'!$E$8="Fashion",'2_Inventory_Data'!AD5*100,IF('1_Inputs'!$E$8="Technology",'2_Inventory_Data'!AE5*100,IF('1_Inputs'!$E$8="Food &amp; Beverage",'2_Inventory_Data'!AF5*100,50)))))+IF('1_Inputs'!$E$9="All",50,IF('1_Inputs'!$E$9="Commuters",'2_Inventory_Data'!AG5*100,IF('1_Inputs'!$E$9="Shoppers",'2_Inventory_Data'!AH5*100,IF('1_Inputs'!$E$9="Business Travelers",'2_Inventory_Data'!AI5*100,IF('1_Inputs'!$E$9="Tourists",'2_Inventory_Data'!AJ5*100,50))))))/3,1))</f>
        <v/>
      </c>
      <c r="K8">
        <f>IF(E8="FILTERED",0,IF(OR('2_Inventory_Data'!I5="Transit: Airport",'2_Inventory_Data'!I5="Transit: Rail/Metro Station"),90,IF('2_Inventory_Data'!I5="Retail: Shopping Center",75,65)))</f>
        <v/>
      </c>
      <c r="L8">
        <f>IF(E8="FILTERED",0,MIN(100,'2_Inventory_Data'!L5/5000))</f>
        <v/>
      </c>
      <c r="M8">
        <f>IF(E8="FILTERED",0,MIN(100,'2_Inventory_Data'!N5*4.5))</f>
        <v/>
      </c>
      <c r="N8">
        <f>IF(E8="FILTERED",0,ROUND(G8*0.15+H8*0.10+I8*0.18+J8*0.22+K8*0.10+L8*0.10+M8*0.10+F8*0.05,1))</f>
        <v/>
      </c>
      <c r="O8">
        <f>IF(N8=0,"",RANK(N8,$N$5:$N$44,0))</f>
        <v/>
      </c>
      <c r="P8">
        <f>IF(OR(E8="FILTERED",'2_Inventory_Data'!F5&lt;&gt;"Digital"),"",COUNTIFS($E$5:$E$44,"MATCH",'2_Inventory_Data'!$F$2:$F$41,"Digital",$N$5:$N$44,"&gt;"&amp;N8)+1)</f>
        <v/>
      </c>
      <c r="Q8">
        <f>IF(OR(E8="FILTERED",'2_Inventory_Data'!F5&lt;&gt;"Classic"),"",COUNTIFS($E$5:$E$44,"MATCH",'2_Inventory_Data'!$F$2:$F$41,"Classic",$N$5:$N$44,"&gt;"&amp;N8)+1)</f>
        <v/>
      </c>
      <c r="R8">
        <f>IF(OR(E8="FILTERED",'2_Inventory_Data'!F5&lt;&gt;"Audio"),"",COUNTIFS($E$5:$E$44,"MATCH",'2_Inventory_Data'!$F$2:$F$41,"Audio",$N$5:$N$44,"&gt;"&amp;N8)+1)</f>
        <v/>
      </c>
    </row>
    <row r="9">
      <c r="A9">
        <f>'2_Inventory_Data'!A6</f>
        <v/>
      </c>
      <c r="B9">
        <f>'2_Inventory_Data'!B6</f>
        <v/>
      </c>
      <c r="C9">
        <f>'2_Inventory_Data'!D6</f>
        <v/>
      </c>
      <c r="D9">
        <f>'2_Inventory_Data'!E6</f>
        <v/>
      </c>
      <c r="E9">
        <f>IF(AND('2_Inventory_Data'!C6='1_Inputs'!$B$5,OR('1_Inputs'!$B$6="All Cities",'2_Inventory_Data'!D6='1_Inputs'!$B$6),OR('1_Inputs'!$B$14="All Venues",'2_Inventory_Data'!I6='1_Inputs'!$B$14),OR('1_Inputs'!$B$15="All",'2_Inventory_Data'!F6='1_Inputs'!$B$15),OR('1_Inputs'!$B$16="All",'2_Inventory_Data'!G6='1_Inputs'!$B$16)),"MATCH","FILTERED")</f>
        <v/>
      </c>
      <c r="F9">
        <f>IF(E9="MATCH",100,0)</f>
        <v/>
      </c>
      <c r="G9">
        <f>IF(E9="MATCH",IF(D9=1,100,IF(D9=2,85,70)),0)</f>
        <v/>
      </c>
      <c r="H9">
        <f>IF(E9="MATCH",80+MOD(ROW(),21),0)</f>
        <v/>
      </c>
      <c r="I9">
        <f>IF(E9="MATCH",MAX(0,100-'2_Inventory_Data'!J6*0.3),0)</f>
        <v/>
      </c>
      <c r="J9">
        <f>IF(E9="FILTERED",0,ROUND((IF('1_Inputs'!$E$5="All Ages",50,IF('1_Inputs'!$E$5="25-44",('2_Inventory_Data'!S6+'2_Inventory_Data'!T6)*100,IF('1_Inputs'!$E$5="18-24",'2_Inventory_Data'!R6*100,IF('1_Inputs'!$E$5="25-34",'2_Inventory_Data'!S6*100,IF('1_Inputs'!$E$5="35-44",'2_Inventory_Data'!T6*100,IF('1_Inputs'!$E$5="45-54",'2_Inventory_Data'!U6*100,IF('1_Inputs'!$E$5="55+",'2_Inventory_Data'!V6*100,50)))))))+IF('1_Inputs'!$E$8="All",50,IF('1_Inputs'!$E$8="Travel",'2_Inventory_Data'!AC6*100,IF('1_Inputs'!$E$8="Fashion",'2_Inventory_Data'!AD6*100,IF('1_Inputs'!$E$8="Technology",'2_Inventory_Data'!AE6*100,IF('1_Inputs'!$E$8="Food &amp; Beverage",'2_Inventory_Data'!AF6*100,50)))))+IF('1_Inputs'!$E$9="All",50,IF('1_Inputs'!$E$9="Commuters",'2_Inventory_Data'!AG6*100,IF('1_Inputs'!$E$9="Shoppers",'2_Inventory_Data'!AH6*100,IF('1_Inputs'!$E$9="Business Travelers",'2_Inventory_Data'!AI6*100,IF('1_Inputs'!$E$9="Tourists",'2_Inventory_Data'!AJ6*100,50))))))/3,1))</f>
        <v/>
      </c>
      <c r="K9">
        <f>IF(E9="FILTERED",0,IF(OR('2_Inventory_Data'!I6="Transit: Airport",'2_Inventory_Data'!I6="Transit: Rail/Metro Station"),90,IF('2_Inventory_Data'!I6="Retail: Shopping Center",75,65)))</f>
        <v/>
      </c>
      <c r="L9">
        <f>IF(E9="FILTERED",0,MIN(100,'2_Inventory_Data'!L6/5000))</f>
        <v/>
      </c>
      <c r="M9">
        <f>IF(E9="FILTERED",0,MIN(100,'2_Inventory_Data'!N6*4.5))</f>
        <v/>
      </c>
      <c r="N9">
        <f>IF(E9="FILTERED",0,ROUND(G9*0.15+H9*0.10+I9*0.18+J9*0.22+K9*0.10+L9*0.10+M9*0.10+F9*0.05,1))</f>
        <v/>
      </c>
      <c r="O9">
        <f>IF(N9=0,"",RANK(N9,$N$5:$N$44,0))</f>
        <v/>
      </c>
      <c r="P9">
        <f>IF(OR(E9="FILTERED",'2_Inventory_Data'!F6&lt;&gt;"Digital"),"",COUNTIFS($E$5:$E$44,"MATCH",'2_Inventory_Data'!$F$2:$F$41,"Digital",$N$5:$N$44,"&gt;"&amp;N9)+1)</f>
        <v/>
      </c>
      <c r="Q9">
        <f>IF(OR(E9="FILTERED",'2_Inventory_Data'!F6&lt;&gt;"Classic"),"",COUNTIFS($E$5:$E$44,"MATCH",'2_Inventory_Data'!$F$2:$F$41,"Classic",$N$5:$N$44,"&gt;"&amp;N9)+1)</f>
        <v/>
      </c>
      <c r="R9">
        <f>IF(OR(E9="FILTERED",'2_Inventory_Data'!F6&lt;&gt;"Audio"),"",COUNTIFS($E$5:$E$44,"MATCH",'2_Inventory_Data'!$F$2:$F$41,"Audio",$N$5:$N$44,"&gt;"&amp;N9)+1)</f>
        <v/>
      </c>
    </row>
    <row r="10">
      <c r="A10">
        <f>'2_Inventory_Data'!A7</f>
        <v/>
      </c>
      <c r="B10">
        <f>'2_Inventory_Data'!B7</f>
        <v/>
      </c>
      <c r="C10">
        <f>'2_Inventory_Data'!D7</f>
        <v/>
      </c>
      <c r="D10">
        <f>'2_Inventory_Data'!E7</f>
        <v/>
      </c>
      <c r="E10">
        <f>IF(AND('2_Inventory_Data'!C7='1_Inputs'!$B$5,OR('1_Inputs'!$B$6="All Cities",'2_Inventory_Data'!D7='1_Inputs'!$B$6),OR('1_Inputs'!$B$14="All Venues",'2_Inventory_Data'!I7='1_Inputs'!$B$14),OR('1_Inputs'!$B$15="All",'2_Inventory_Data'!F7='1_Inputs'!$B$15),OR('1_Inputs'!$B$16="All",'2_Inventory_Data'!G7='1_Inputs'!$B$16)),"MATCH","FILTERED")</f>
        <v/>
      </c>
      <c r="F10">
        <f>IF(E10="MATCH",100,0)</f>
        <v/>
      </c>
      <c r="G10">
        <f>IF(E10="MATCH",IF(D10=1,100,IF(D10=2,85,70)),0)</f>
        <v/>
      </c>
      <c r="H10">
        <f>IF(E10="MATCH",80+MOD(ROW(),21),0)</f>
        <v/>
      </c>
      <c r="I10">
        <f>IF(E10="MATCH",MAX(0,100-'2_Inventory_Data'!J7*0.3),0)</f>
        <v/>
      </c>
      <c r="J10">
        <f>IF(E10="FILTERED",0,ROUND((IF('1_Inputs'!$E$5="All Ages",50,IF('1_Inputs'!$E$5="25-44",('2_Inventory_Data'!S7+'2_Inventory_Data'!T7)*100,IF('1_Inputs'!$E$5="18-24",'2_Inventory_Data'!R7*100,IF('1_Inputs'!$E$5="25-34",'2_Inventory_Data'!S7*100,IF('1_Inputs'!$E$5="35-44",'2_Inventory_Data'!T7*100,IF('1_Inputs'!$E$5="45-54",'2_Inventory_Data'!U7*100,IF('1_Inputs'!$E$5="55+",'2_Inventory_Data'!V7*100,50)))))))+IF('1_Inputs'!$E$8="All",50,IF('1_Inputs'!$E$8="Travel",'2_Inventory_Data'!AC7*100,IF('1_Inputs'!$E$8="Fashion",'2_Inventory_Data'!AD7*100,IF('1_Inputs'!$E$8="Technology",'2_Inventory_Data'!AE7*100,IF('1_Inputs'!$E$8="Food &amp; Beverage",'2_Inventory_Data'!AF7*100,50)))))+IF('1_Inputs'!$E$9="All",50,IF('1_Inputs'!$E$9="Commuters",'2_Inventory_Data'!AG7*100,IF('1_Inputs'!$E$9="Shoppers",'2_Inventory_Data'!AH7*100,IF('1_Inputs'!$E$9="Business Travelers",'2_Inventory_Data'!AI7*100,IF('1_Inputs'!$E$9="Tourists",'2_Inventory_Data'!AJ7*100,50))))))/3,1))</f>
        <v/>
      </c>
      <c r="K10">
        <f>IF(E10="FILTERED",0,IF(OR('2_Inventory_Data'!I7="Transit: Airport",'2_Inventory_Data'!I7="Transit: Rail/Metro Station"),90,IF('2_Inventory_Data'!I7="Retail: Shopping Center",75,65)))</f>
        <v/>
      </c>
      <c r="L10">
        <f>IF(E10="FILTERED",0,MIN(100,'2_Inventory_Data'!L7/5000))</f>
        <v/>
      </c>
      <c r="M10">
        <f>IF(E10="FILTERED",0,MIN(100,'2_Inventory_Data'!N7*4.5))</f>
        <v/>
      </c>
      <c r="N10">
        <f>IF(E10="FILTERED",0,ROUND(G10*0.15+H10*0.10+I10*0.18+J10*0.22+K10*0.10+L10*0.10+M10*0.10+F10*0.05,1))</f>
        <v/>
      </c>
      <c r="O10">
        <f>IF(N10=0,"",RANK(N10,$N$5:$N$44,0))</f>
        <v/>
      </c>
      <c r="P10">
        <f>IF(OR(E10="FILTERED",'2_Inventory_Data'!F7&lt;&gt;"Digital"),"",COUNTIFS($E$5:$E$44,"MATCH",'2_Inventory_Data'!$F$2:$F$41,"Digital",$N$5:$N$44,"&gt;"&amp;N10)+1)</f>
        <v/>
      </c>
      <c r="Q10">
        <f>IF(OR(E10="FILTERED",'2_Inventory_Data'!F7&lt;&gt;"Classic"),"",COUNTIFS($E$5:$E$44,"MATCH",'2_Inventory_Data'!$F$2:$F$41,"Classic",$N$5:$N$44,"&gt;"&amp;N10)+1)</f>
        <v/>
      </c>
      <c r="R10">
        <f>IF(OR(E10="FILTERED",'2_Inventory_Data'!F7&lt;&gt;"Audio"),"",COUNTIFS($E$5:$E$44,"MATCH",'2_Inventory_Data'!$F$2:$F$41,"Audio",$N$5:$N$44,"&gt;"&amp;N10)+1)</f>
        <v/>
      </c>
    </row>
    <row r="11">
      <c r="A11">
        <f>'2_Inventory_Data'!A8</f>
        <v/>
      </c>
      <c r="B11">
        <f>'2_Inventory_Data'!B8</f>
        <v/>
      </c>
      <c r="C11">
        <f>'2_Inventory_Data'!D8</f>
        <v/>
      </c>
      <c r="D11">
        <f>'2_Inventory_Data'!E8</f>
        <v/>
      </c>
      <c r="E11">
        <f>IF(AND('2_Inventory_Data'!C8='1_Inputs'!$B$5,OR('1_Inputs'!$B$6="All Cities",'2_Inventory_Data'!D8='1_Inputs'!$B$6),OR('1_Inputs'!$B$14="All Venues",'2_Inventory_Data'!I8='1_Inputs'!$B$14),OR('1_Inputs'!$B$15="All",'2_Inventory_Data'!F8='1_Inputs'!$B$15),OR('1_Inputs'!$B$16="All",'2_Inventory_Data'!G8='1_Inputs'!$B$16)),"MATCH","FILTERED")</f>
        <v/>
      </c>
      <c r="F11">
        <f>IF(E11="MATCH",100,0)</f>
        <v/>
      </c>
      <c r="G11">
        <f>IF(E11="MATCH",IF(D11=1,100,IF(D11=2,85,70)),0)</f>
        <v/>
      </c>
      <c r="H11">
        <f>IF(E11="MATCH",80+MOD(ROW(),21),0)</f>
        <v/>
      </c>
      <c r="I11">
        <f>IF(E11="MATCH",MAX(0,100-'2_Inventory_Data'!J8*0.3),0)</f>
        <v/>
      </c>
      <c r="J11">
        <f>IF(E11="FILTERED",0,ROUND((IF('1_Inputs'!$E$5="All Ages",50,IF('1_Inputs'!$E$5="25-44",('2_Inventory_Data'!S8+'2_Inventory_Data'!T8)*100,IF('1_Inputs'!$E$5="18-24",'2_Inventory_Data'!R8*100,IF('1_Inputs'!$E$5="25-34",'2_Inventory_Data'!S8*100,IF('1_Inputs'!$E$5="35-44",'2_Inventory_Data'!T8*100,IF('1_Inputs'!$E$5="45-54",'2_Inventory_Data'!U8*100,IF('1_Inputs'!$E$5="55+",'2_Inventory_Data'!V8*100,50)))))))+IF('1_Inputs'!$E$8="All",50,IF('1_Inputs'!$E$8="Travel",'2_Inventory_Data'!AC8*100,IF('1_Inputs'!$E$8="Fashion",'2_Inventory_Data'!AD8*100,IF('1_Inputs'!$E$8="Technology",'2_Inventory_Data'!AE8*100,IF('1_Inputs'!$E$8="Food &amp; Beverage",'2_Inventory_Data'!AF8*100,50)))))+IF('1_Inputs'!$E$9="All",50,IF('1_Inputs'!$E$9="Commuters",'2_Inventory_Data'!AG8*100,IF('1_Inputs'!$E$9="Shoppers",'2_Inventory_Data'!AH8*100,IF('1_Inputs'!$E$9="Business Travelers",'2_Inventory_Data'!AI8*100,IF('1_Inputs'!$E$9="Tourists",'2_Inventory_Data'!AJ8*100,50))))))/3,1))</f>
        <v/>
      </c>
      <c r="K11">
        <f>IF(E11="FILTERED",0,IF(OR('2_Inventory_Data'!I8="Transit: Airport",'2_Inventory_Data'!I8="Transit: Rail/Metro Station"),90,IF('2_Inventory_Data'!I8="Retail: Shopping Center",75,65)))</f>
        <v/>
      </c>
      <c r="L11">
        <f>IF(E11="FILTERED",0,MIN(100,'2_Inventory_Data'!L8/5000))</f>
        <v/>
      </c>
      <c r="M11">
        <f>IF(E11="FILTERED",0,MIN(100,'2_Inventory_Data'!N8*4.5))</f>
        <v/>
      </c>
      <c r="N11">
        <f>IF(E11="FILTERED",0,ROUND(G11*0.15+H11*0.10+I11*0.18+J11*0.22+K11*0.10+L11*0.10+M11*0.10+F11*0.05,1))</f>
        <v/>
      </c>
      <c r="O11">
        <f>IF(N11=0,"",RANK(N11,$N$5:$N$44,0))</f>
        <v/>
      </c>
      <c r="P11">
        <f>IF(OR(E11="FILTERED",'2_Inventory_Data'!F8&lt;&gt;"Digital"),"",COUNTIFS($E$5:$E$44,"MATCH",'2_Inventory_Data'!$F$2:$F$41,"Digital",$N$5:$N$44,"&gt;"&amp;N11)+1)</f>
        <v/>
      </c>
      <c r="Q11">
        <f>IF(OR(E11="FILTERED",'2_Inventory_Data'!F8&lt;&gt;"Classic"),"",COUNTIFS($E$5:$E$44,"MATCH",'2_Inventory_Data'!$F$2:$F$41,"Classic",$N$5:$N$44,"&gt;"&amp;N11)+1)</f>
        <v/>
      </c>
      <c r="R11">
        <f>IF(OR(E11="FILTERED",'2_Inventory_Data'!F8&lt;&gt;"Audio"),"",COUNTIFS($E$5:$E$44,"MATCH",'2_Inventory_Data'!$F$2:$F$41,"Audio",$N$5:$N$44,"&gt;"&amp;N11)+1)</f>
        <v/>
      </c>
    </row>
    <row r="12">
      <c r="A12">
        <f>'2_Inventory_Data'!A9</f>
        <v/>
      </c>
      <c r="B12">
        <f>'2_Inventory_Data'!B9</f>
        <v/>
      </c>
      <c r="C12">
        <f>'2_Inventory_Data'!D9</f>
        <v/>
      </c>
      <c r="D12">
        <f>'2_Inventory_Data'!E9</f>
        <v/>
      </c>
      <c r="E12">
        <f>IF(AND('2_Inventory_Data'!C9='1_Inputs'!$B$5,OR('1_Inputs'!$B$6="All Cities",'2_Inventory_Data'!D9='1_Inputs'!$B$6),OR('1_Inputs'!$B$14="All Venues",'2_Inventory_Data'!I9='1_Inputs'!$B$14),OR('1_Inputs'!$B$15="All",'2_Inventory_Data'!F9='1_Inputs'!$B$15),OR('1_Inputs'!$B$16="All",'2_Inventory_Data'!G9='1_Inputs'!$B$16)),"MATCH","FILTERED")</f>
        <v/>
      </c>
      <c r="F12">
        <f>IF(E12="MATCH",100,0)</f>
        <v/>
      </c>
      <c r="G12">
        <f>IF(E12="MATCH",IF(D12=1,100,IF(D12=2,85,70)),0)</f>
        <v/>
      </c>
      <c r="H12">
        <f>IF(E12="MATCH",80+MOD(ROW(),21),0)</f>
        <v/>
      </c>
      <c r="I12">
        <f>IF(E12="MATCH",MAX(0,100-'2_Inventory_Data'!J9*0.3),0)</f>
        <v/>
      </c>
      <c r="J12">
        <f>IF(E12="FILTERED",0,ROUND((IF('1_Inputs'!$E$5="All Ages",50,IF('1_Inputs'!$E$5="25-44",('2_Inventory_Data'!S9+'2_Inventory_Data'!T9)*100,IF('1_Inputs'!$E$5="18-24",'2_Inventory_Data'!R9*100,IF('1_Inputs'!$E$5="25-34",'2_Inventory_Data'!S9*100,IF('1_Inputs'!$E$5="35-44",'2_Inventory_Data'!T9*100,IF('1_Inputs'!$E$5="45-54",'2_Inventory_Data'!U9*100,IF('1_Inputs'!$E$5="55+",'2_Inventory_Data'!V9*100,50)))))))+IF('1_Inputs'!$E$8="All",50,IF('1_Inputs'!$E$8="Travel",'2_Inventory_Data'!AC9*100,IF('1_Inputs'!$E$8="Fashion",'2_Inventory_Data'!AD9*100,IF('1_Inputs'!$E$8="Technology",'2_Inventory_Data'!AE9*100,IF('1_Inputs'!$E$8="Food &amp; Beverage",'2_Inventory_Data'!AF9*100,50)))))+IF('1_Inputs'!$E$9="All",50,IF('1_Inputs'!$E$9="Commuters",'2_Inventory_Data'!AG9*100,IF('1_Inputs'!$E$9="Shoppers",'2_Inventory_Data'!AH9*100,IF('1_Inputs'!$E$9="Business Travelers",'2_Inventory_Data'!AI9*100,IF('1_Inputs'!$E$9="Tourists",'2_Inventory_Data'!AJ9*100,50))))))/3,1))</f>
        <v/>
      </c>
      <c r="K12">
        <f>IF(E12="FILTERED",0,IF(OR('2_Inventory_Data'!I9="Transit: Airport",'2_Inventory_Data'!I9="Transit: Rail/Metro Station"),90,IF('2_Inventory_Data'!I9="Retail: Shopping Center",75,65)))</f>
        <v/>
      </c>
      <c r="L12">
        <f>IF(E12="FILTERED",0,MIN(100,'2_Inventory_Data'!L9/5000))</f>
        <v/>
      </c>
      <c r="M12">
        <f>IF(E12="FILTERED",0,MIN(100,'2_Inventory_Data'!N9*4.5))</f>
        <v/>
      </c>
      <c r="N12">
        <f>IF(E12="FILTERED",0,ROUND(G12*0.15+H12*0.10+I12*0.18+J12*0.22+K12*0.10+L12*0.10+M12*0.10+F12*0.05,1))</f>
        <v/>
      </c>
      <c r="O12">
        <f>IF(N12=0,"",RANK(N12,$N$5:$N$44,0))</f>
        <v/>
      </c>
      <c r="P12">
        <f>IF(OR(E12="FILTERED",'2_Inventory_Data'!F9&lt;&gt;"Digital"),"",COUNTIFS($E$5:$E$44,"MATCH",'2_Inventory_Data'!$F$2:$F$41,"Digital",$N$5:$N$44,"&gt;"&amp;N12)+1)</f>
        <v/>
      </c>
      <c r="Q12">
        <f>IF(OR(E12="FILTERED",'2_Inventory_Data'!F9&lt;&gt;"Classic"),"",COUNTIFS($E$5:$E$44,"MATCH",'2_Inventory_Data'!$F$2:$F$41,"Classic",$N$5:$N$44,"&gt;"&amp;N12)+1)</f>
        <v/>
      </c>
      <c r="R12">
        <f>IF(OR(E12="FILTERED",'2_Inventory_Data'!F9&lt;&gt;"Audio"),"",COUNTIFS($E$5:$E$44,"MATCH",'2_Inventory_Data'!$F$2:$F$41,"Audio",$N$5:$N$44,"&gt;"&amp;N12)+1)</f>
        <v/>
      </c>
    </row>
    <row r="13">
      <c r="A13">
        <f>'2_Inventory_Data'!A10</f>
        <v/>
      </c>
      <c r="B13">
        <f>'2_Inventory_Data'!B10</f>
        <v/>
      </c>
      <c r="C13">
        <f>'2_Inventory_Data'!D10</f>
        <v/>
      </c>
      <c r="D13">
        <f>'2_Inventory_Data'!E10</f>
        <v/>
      </c>
      <c r="E13">
        <f>IF(AND('2_Inventory_Data'!C10='1_Inputs'!$B$5,OR('1_Inputs'!$B$6="All Cities",'2_Inventory_Data'!D10='1_Inputs'!$B$6),OR('1_Inputs'!$B$14="All Venues",'2_Inventory_Data'!I10='1_Inputs'!$B$14),OR('1_Inputs'!$B$15="All",'2_Inventory_Data'!F10='1_Inputs'!$B$15),OR('1_Inputs'!$B$16="All",'2_Inventory_Data'!G10='1_Inputs'!$B$16)),"MATCH","FILTERED")</f>
        <v/>
      </c>
      <c r="F13">
        <f>IF(E13="MATCH",100,0)</f>
        <v/>
      </c>
      <c r="G13">
        <f>IF(E13="MATCH",IF(D13=1,100,IF(D13=2,85,70)),0)</f>
        <v/>
      </c>
      <c r="H13">
        <f>IF(E13="MATCH",80+MOD(ROW(),21),0)</f>
        <v/>
      </c>
      <c r="I13">
        <f>IF(E13="MATCH",MAX(0,100-'2_Inventory_Data'!J10*0.3),0)</f>
        <v/>
      </c>
      <c r="J13">
        <f>IF(E13="FILTERED",0,ROUND((IF('1_Inputs'!$E$5="All Ages",50,IF('1_Inputs'!$E$5="25-44",('2_Inventory_Data'!S10+'2_Inventory_Data'!T10)*100,IF('1_Inputs'!$E$5="18-24",'2_Inventory_Data'!R10*100,IF('1_Inputs'!$E$5="25-34",'2_Inventory_Data'!S10*100,IF('1_Inputs'!$E$5="35-44",'2_Inventory_Data'!T10*100,IF('1_Inputs'!$E$5="45-54",'2_Inventory_Data'!U10*100,IF('1_Inputs'!$E$5="55+",'2_Inventory_Data'!V10*100,50)))))))+IF('1_Inputs'!$E$8="All",50,IF('1_Inputs'!$E$8="Travel",'2_Inventory_Data'!AC10*100,IF('1_Inputs'!$E$8="Fashion",'2_Inventory_Data'!AD10*100,IF('1_Inputs'!$E$8="Technology",'2_Inventory_Data'!AE10*100,IF('1_Inputs'!$E$8="Food &amp; Beverage",'2_Inventory_Data'!AF10*100,50)))))+IF('1_Inputs'!$E$9="All",50,IF('1_Inputs'!$E$9="Commuters",'2_Inventory_Data'!AG10*100,IF('1_Inputs'!$E$9="Shoppers",'2_Inventory_Data'!AH10*100,IF('1_Inputs'!$E$9="Business Travelers",'2_Inventory_Data'!AI10*100,IF('1_Inputs'!$E$9="Tourists",'2_Inventory_Data'!AJ10*100,50))))))/3,1))</f>
        <v/>
      </c>
      <c r="K13">
        <f>IF(E13="FILTERED",0,IF(OR('2_Inventory_Data'!I10="Transit: Airport",'2_Inventory_Data'!I10="Transit: Rail/Metro Station"),90,IF('2_Inventory_Data'!I10="Retail: Shopping Center",75,65)))</f>
        <v/>
      </c>
      <c r="L13">
        <f>IF(E13="FILTERED",0,MIN(100,'2_Inventory_Data'!L10/5000))</f>
        <v/>
      </c>
      <c r="M13">
        <f>IF(E13="FILTERED",0,MIN(100,'2_Inventory_Data'!N10*4.5))</f>
        <v/>
      </c>
      <c r="N13">
        <f>IF(E13="FILTERED",0,ROUND(G13*0.15+H13*0.10+I13*0.18+J13*0.22+K13*0.10+L13*0.10+M13*0.10+F13*0.05,1))</f>
        <v/>
      </c>
      <c r="O13">
        <f>IF(N13=0,"",RANK(N13,$N$5:$N$44,0))</f>
        <v/>
      </c>
      <c r="P13">
        <f>IF(OR(E13="FILTERED",'2_Inventory_Data'!F10&lt;&gt;"Digital"),"",COUNTIFS($E$5:$E$44,"MATCH",'2_Inventory_Data'!$F$2:$F$41,"Digital",$N$5:$N$44,"&gt;"&amp;N13)+1)</f>
        <v/>
      </c>
      <c r="Q13">
        <f>IF(OR(E13="FILTERED",'2_Inventory_Data'!F10&lt;&gt;"Classic"),"",COUNTIFS($E$5:$E$44,"MATCH",'2_Inventory_Data'!$F$2:$F$41,"Classic",$N$5:$N$44,"&gt;"&amp;N13)+1)</f>
        <v/>
      </c>
      <c r="R13">
        <f>IF(OR(E13="FILTERED",'2_Inventory_Data'!F10&lt;&gt;"Audio"),"",COUNTIFS($E$5:$E$44,"MATCH",'2_Inventory_Data'!$F$2:$F$41,"Audio",$N$5:$N$44,"&gt;"&amp;N13)+1)</f>
        <v/>
      </c>
    </row>
    <row r="14">
      <c r="A14">
        <f>'2_Inventory_Data'!A11</f>
        <v/>
      </c>
      <c r="B14">
        <f>'2_Inventory_Data'!B11</f>
        <v/>
      </c>
      <c r="C14">
        <f>'2_Inventory_Data'!D11</f>
        <v/>
      </c>
      <c r="D14">
        <f>'2_Inventory_Data'!E11</f>
        <v/>
      </c>
      <c r="E14">
        <f>IF(AND('2_Inventory_Data'!C11='1_Inputs'!$B$5,OR('1_Inputs'!$B$6="All Cities",'2_Inventory_Data'!D11='1_Inputs'!$B$6),OR('1_Inputs'!$B$14="All Venues",'2_Inventory_Data'!I11='1_Inputs'!$B$14),OR('1_Inputs'!$B$15="All",'2_Inventory_Data'!F11='1_Inputs'!$B$15),OR('1_Inputs'!$B$16="All",'2_Inventory_Data'!G11='1_Inputs'!$B$16)),"MATCH","FILTERED")</f>
        <v/>
      </c>
      <c r="F14">
        <f>IF(E14="MATCH",100,0)</f>
        <v/>
      </c>
      <c r="G14">
        <f>IF(E14="MATCH",IF(D14=1,100,IF(D14=2,85,70)),0)</f>
        <v/>
      </c>
      <c r="H14">
        <f>IF(E14="MATCH",80+MOD(ROW(),21),0)</f>
        <v/>
      </c>
      <c r="I14">
        <f>IF(E14="MATCH",MAX(0,100-'2_Inventory_Data'!J11*0.3),0)</f>
        <v/>
      </c>
      <c r="J14">
        <f>IF(E14="FILTERED",0,ROUND((IF('1_Inputs'!$E$5="All Ages",50,IF('1_Inputs'!$E$5="25-44",('2_Inventory_Data'!S11+'2_Inventory_Data'!T11)*100,IF('1_Inputs'!$E$5="18-24",'2_Inventory_Data'!R11*100,IF('1_Inputs'!$E$5="25-34",'2_Inventory_Data'!S11*100,IF('1_Inputs'!$E$5="35-44",'2_Inventory_Data'!T11*100,IF('1_Inputs'!$E$5="45-54",'2_Inventory_Data'!U11*100,IF('1_Inputs'!$E$5="55+",'2_Inventory_Data'!V11*100,50)))))))+IF('1_Inputs'!$E$8="All",50,IF('1_Inputs'!$E$8="Travel",'2_Inventory_Data'!AC11*100,IF('1_Inputs'!$E$8="Fashion",'2_Inventory_Data'!AD11*100,IF('1_Inputs'!$E$8="Technology",'2_Inventory_Data'!AE11*100,IF('1_Inputs'!$E$8="Food &amp; Beverage",'2_Inventory_Data'!AF11*100,50)))))+IF('1_Inputs'!$E$9="All",50,IF('1_Inputs'!$E$9="Commuters",'2_Inventory_Data'!AG11*100,IF('1_Inputs'!$E$9="Shoppers",'2_Inventory_Data'!AH11*100,IF('1_Inputs'!$E$9="Business Travelers",'2_Inventory_Data'!AI11*100,IF('1_Inputs'!$E$9="Tourists",'2_Inventory_Data'!AJ11*100,50))))))/3,1))</f>
        <v/>
      </c>
      <c r="K14">
        <f>IF(E14="FILTERED",0,IF(OR('2_Inventory_Data'!I11="Transit: Airport",'2_Inventory_Data'!I11="Transit: Rail/Metro Station"),90,IF('2_Inventory_Data'!I11="Retail: Shopping Center",75,65)))</f>
        <v/>
      </c>
      <c r="L14">
        <f>IF(E14="FILTERED",0,MIN(100,'2_Inventory_Data'!L11/5000))</f>
        <v/>
      </c>
      <c r="M14">
        <f>IF(E14="FILTERED",0,MIN(100,'2_Inventory_Data'!N11*4.5))</f>
        <v/>
      </c>
      <c r="N14">
        <f>IF(E14="FILTERED",0,ROUND(G14*0.15+H14*0.10+I14*0.18+J14*0.22+K14*0.10+L14*0.10+M14*0.10+F14*0.05,1))</f>
        <v/>
      </c>
      <c r="O14">
        <f>IF(N14=0,"",RANK(N14,$N$5:$N$44,0))</f>
        <v/>
      </c>
      <c r="P14">
        <f>IF(OR(E14="FILTERED",'2_Inventory_Data'!F11&lt;&gt;"Digital"),"",COUNTIFS($E$5:$E$44,"MATCH",'2_Inventory_Data'!$F$2:$F$41,"Digital",$N$5:$N$44,"&gt;"&amp;N14)+1)</f>
        <v/>
      </c>
      <c r="Q14">
        <f>IF(OR(E14="FILTERED",'2_Inventory_Data'!F11&lt;&gt;"Classic"),"",COUNTIFS($E$5:$E$44,"MATCH",'2_Inventory_Data'!$F$2:$F$41,"Classic",$N$5:$N$44,"&gt;"&amp;N14)+1)</f>
        <v/>
      </c>
      <c r="R14">
        <f>IF(OR(E14="FILTERED",'2_Inventory_Data'!F11&lt;&gt;"Audio"),"",COUNTIFS($E$5:$E$44,"MATCH",'2_Inventory_Data'!$F$2:$F$41,"Audio",$N$5:$N$44,"&gt;"&amp;N14)+1)</f>
        <v/>
      </c>
    </row>
    <row r="15">
      <c r="A15">
        <f>'2_Inventory_Data'!A12</f>
        <v/>
      </c>
      <c r="B15">
        <f>'2_Inventory_Data'!B12</f>
        <v/>
      </c>
      <c r="C15">
        <f>'2_Inventory_Data'!D12</f>
        <v/>
      </c>
      <c r="D15">
        <f>'2_Inventory_Data'!E12</f>
        <v/>
      </c>
      <c r="E15">
        <f>IF(AND('2_Inventory_Data'!C12='1_Inputs'!$B$5,OR('1_Inputs'!$B$6="All Cities",'2_Inventory_Data'!D12='1_Inputs'!$B$6),OR('1_Inputs'!$B$14="All Venues",'2_Inventory_Data'!I12='1_Inputs'!$B$14),OR('1_Inputs'!$B$15="All",'2_Inventory_Data'!F12='1_Inputs'!$B$15),OR('1_Inputs'!$B$16="All",'2_Inventory_Data'!G12='1_Inputs'!$B$16)),"MATCH","FILTERED")</f>
        <v/>
      </c>
      <c r="F15">
        <f>IF(E15="MATCH",100,0)</f>
        <v/>
      </c>
      <c r="G15">
        <f>IF(E15="MATCH",IF(D15=1,100,IF(D15=2,85,70)),0)</f>
        <v/>
      </c>
      <c r="H15">
        <f>IF(E15="MATCH",80+MOD(ROW(),21),0)</f>
        <v/>
      </c>
      <c r="I15">
        <f>IF(E15="MATCH",MAX(0,100-'2_Inventory_Data'!J12*0.3),0)</f>
        <v/>
      </c>
      <c r="J15">
        <f>IF(E15="FILTERED",0,ROUND((IF('1_Inputs'!$E$5="All Ages",50,IF('1_Inputs'!$E$5="25-44",('2_Inventory_Data'!S12+'2_Inventory_Data'!T12)*100,IF('1_Inputs'!$E$5="18-24",'2_Inventory_Data'!R12*100,IF('1_Inputs'!$E$5="25-34",'2_Inventory_Data'!S12*100,IF('1_Inputs'!$E$5="35-44",'2_Inventory_Data'!T12*100,IF('1_Inputs'!$E$5="45-54",'2_Inventory_Data'!U12*100,IF('1_Inputs'!$E$5="55+",'2_Inventory_Data'!V12*100,50)))))))+IF('1_Inputs'!$E$8="All",50,IF('1_Inputs'!$E$8="Travel",'2_Inventory_Data'!AC12*100,IF('1_Inputs'!$E$8="Fashion",'2_Inventory_Data'!AD12*100,IF('1_Inputs'!$E$8="Technology",'2_Inventory_Data'!AE12*100,IF('1_Inputs'!$E$8="Food &amp; Beverage",'2_Inventory_Data'!AF12*100,50)))))+IF('1_Inputs'!$E$9="All",50,IF('1_Inputs'!$E$9="Commuters",'2_Inventory_Data'!AG12*100,IF('1_Inputs'!$E$9="Shoppers",'2_Inventory_Data'!AH12*100,IF('1_Inputs'!$E$9="Business Travelers",'2_Inventory_Data'!AI12*100,IF('1_Inputs'!$E$9="Tourists",'2_Inventory_Data'!AJ12*100,50))))))/3,1))</f>
        <v/>
      </c>
      <c r="K15">
        <f>IF(E15="FILTERED",0,IF(OR('2_Inventory_Data'!I12="Transit: Airport",'2_Inventory_Data'!I12="Transit: Rail/Metro Station"),90,IF('2_Inventory_Data'!I12="Retail: Shopping Center",75,65)))</f>
        <v/>
      </c>
      <c r="L15">
        <f>IF(E15="FILTERED",0,MIN(100,'2_Inventory_Data'!L12/5000))</f>
        <v/>
      </c>
      <c r="M15">
        <f>IF(E15="FILTERED",0,MIN(100,'2_Inventory_Data'!N12*4.5))</f>
        <v/>
      </c>
      <c r="N15">
        <f>IF(E15="FILTERED",0,ROUND(G15*0.15+H15*0.10+I15*0.18+J15*0.22+K15*0.10+L15*0.10+M15*0.10+F15*0.05,1))</f>
        <v/>
      </c>
      <c r="O15">
        <f>IF(N15=0,"",RANK(N15,$N$5:$N$44,0))</f>
        <v/>
      </c>
      <c r="P15">
        <f>IF(OR(E15="FILTERED",'2_Inventory_Data'!F12&lt;&gt;"Digital"),"",COUNTIFS($E$5:$E$44,"MATCH",'2_Inventory_Data'!$F$2:$F$41,"Digital",$N$5:$N$44,"&gt;"&amp;N15)+1)</f>
        <v/>
      </c>
      <c r="Q15">
        <f>IF(OR(E15="FILTERED",'2_Inventory_Data'!F12&lt;&gt;"Classic"),"",COUNTIFS($E$5:$E$44,"MATCH",'2_Inventory_Data'!$F$2:$F$41,"Classic",$N$5:$N$44,"&gt;"&amp;N15)+1)</f>
        <v/>
      </c>
      <c r="R15">
        <f>IF(OR(E15="FILTERED",'2_Inventory_Data'!F12&lt;&gt;"Audio"),"",COUNTIFS($E$5:$E$44,"MATCH",'2_Inventory_Data'!$F$2:$F$41,"Audio",$N$5:$N$44,"&gt;"&amp;N15)+1)</f>
        <v/>
      </c>
    </row>
    <row r="16">
      <c r="A16">
        <f>'2_Inventory_Data'!A13</f>
        <v/>
      </c>
      <c r="B16">
        <f>'2_Inventory_Data'!B13</f>
        <v/>
      </c>
      <c r="C16">
        <f>'2_Inventory_Data'!D13</f>
        <v/>
      </c>
      <c r="D16">
        <f>'2_Inventory_Data'!E13</f>
        <v/>
      </c>
      <c r="E16">
        <f>IF(AND('2_Inventory_Data'!C13='1_Inputs'!$B$5,OR('1_Inputs'!$B$6="All Cities",'2_Inventory_Data'!D13='1_Inputs'!$B$6),OR('1_Inputs'!$B$14="All Venues",'2_Inventory_Data'!I13='1_Inputs'!$B$14),OR('1_Inputs'!$B$15="All",'2_Inventory_Data'!F13='1_Inputs'!$B$15),OR('1_Inputs'!$B$16="All",'2_Inventory_Data'!G13='1_Inputs'!$B$16)),"MATCH","FILTERED")</f>
        <v/>
      </c>
      <c r="F16">
        <f>IF(E16="MATCH",100,0)</f>
        <v/>
      </c>
      <c r="G16">
        <f>IF(E16="MATCH",IF(D16=1,100,IF(D16=2,85,70)),0)</f>
        <v/>
      </c>
      <c r="H16">
        <f>IF(E16="MATCH",80+MOD(ROW(),21),0)</f>
        <v/>
      </c>
      <c r="I16">
        <f>IF(E16="MATCH",MAX(0,100-'2_Inventory_Data'!J13*0.3),0)</f>
        <v/>
      </c>
      <c r="J16">
        <f>IF(E16="FILTERED",0,ROUND((IF('1_Inputs'!$E$5="All Ages",50,IF('1_Inputs'!$E$5="25-44",('2_Inventory_Data'!S13+'2_Inventory_Data'!T13)*100,IF('1_Inputs'!$E$5="18-24",'2_Inventory_Data'!R13*100,IF('1_Inputs'!$E$5="25-34",'2_Inventory_Data'!S13*100,IF('1_Inputs'!$E$5="35-44",'2_Inventory_Data'!T13*100,IF('1_Inputs'!$E$5="45-54",'2_Inventory_Data'!U13*100,IF('1_Inputs'!$E$5="55+",'2_Inventory_Data'!V13*100,50)))))))+IF('1_Inputs'!$E$8="All",50,IF('1_Inputs'!$E$8="Travel",'2_Inventory_Data'!AC13*100,IF('1_Inputs'!$E$8="Fashion",'2_Inventory_Data'!AD13*100,IF('1_Inputs'!$E$8="Technology",'2_Inventory_Data'!AE13*100,IF('1_Inputs'!$E$8="Food &amp; Beverage",'2_Inventory_Data'!AF13*100,50)))))+IF('1_Inputs'!$E$9="All",50,IF('1_Inputs'!$E$9="Commuters",'2_Inventory_Data'!AG13*100,IF('1_Inputs'!$E$9="Shoppers",'2_Inventory_Data'!AH13*100,IF('1_Inputs'!$E$9="Business Travelers",'2_Inventory_Data'!AI13*100,IF('1_Inputs'!$E$9="Tourists",'2_Inventory_Data'!AJ13*100,50))))))/3,1))</f>
        <v/>
      </c>
      <c r="K16">
        <f>IF(E16="FILTERED",0,IF(OR('2_Inventory_Data'!I13="Transit: Airport",'2_Inventory_Data'!I13="Transit: Rail/Metro Station"),90,IF('2_Inventory_Data'!I13="Retail: Shopping Center",75,65)))</f>
        <v/>
      </c>
      <c r="L16">
        <f>IF(E16="FILTERED",0,MIN(100,'2_Inventory_Data'!L13/5000))</f>
        <v/>
      </c>
      <c r="M16">
        <f>IF(E16="FILTERED",0,MIN(100,'2_Inventory_Data'!N13*4.5))</f>
        <v/>
      </c>
      <c r="N16">
        <f>IF(E16="FILTERED",0,ROUND(G16*0.15+H16*0.10+I16*0.18+J16*0.22+K16*0.10+L16*0.10+M16*0.10+F16*0.05,1))</f>
        <v/>
      </c>
      <c r="O16">
        <f>IF(N16=0,"",RANK(N16,$N$5:$N$44,0))</f>
        <v/>
      </c>
      <c r="P16">
        <f>IF(OR(E16="FILTERED",'2_Inventory_Data'!F13&lt;&gt;"Digital"),"",COUNTIFS($E$5:$E$44,"MATCH",'2_Inventory_Data'!$F$2:$F$41,"Digital",$N$5:$N$44,"&gt;"&amp;N16)+1)</f>
        <v/>
      </c>
      <c r="Q16">
        <f>IF(OR(E16="FILTERED",'2_Inventory_Data'!F13&lt;&gt;"Classic"),"",COUNTIFS($E$5:$E$44,"MATCH",'2_Inventory_Data'!$F$2:$F$41,"Classic",$N$5:$N$44,"&gt;"&amp;N16)+1)</f>
        <v/>
      </c>
      <c r="R16">
        <f>IF(OR(E16="FILTERED",'2_Inventory_Data'!F13&lt;&gt;"Audio"),"",COUNTIFS($E$5:$E$44,"MATCH",'2_Inventory_Data'!$F$2:$F$41,"Audio",$N$5:$N$44,"&gt;"&amp;N16)+1)</f>
        <v/>
      </c>
    </row>
    <row r="17">
      <c r="A17">
        <f>'2_Inventory_Data'!A14</f>
        <v/>
      </c>
      <c r="B17">
        <f>'2_Inventory_Data'!B14</f>
        <v/>
      </c>
      <c r="C17">
        <f>'2_Inventory_Data'!D14</f>
        <v/>
      </c>
      <c r="D17">
        <f>'2_Inventory_Data'!E14</f>
        <v/>
      </c>
      <c r="E17">
        <f>IF(AND('2_Inventory_Data'!C14='1_Inputs'!$B$5,OR('1_Inputs'!$B$6="All Cities",'2_Inventory_Data'!D14='1_Inputs'!$B$6),OR('1_Inputs'!$B$14="All Venues",'2_Inventory_Data'!I14='1_Inputs'!$B$14),OR('1_Inputs'!$B$15="All",'2_Inventory_Data'!F14='1_Inputs'!$B$15),OR('1_Inputs'!$B$16="All",'2_Inventory_Data'!G14='1_Inputs'!$B$16)),"MATCH","FILTERED")</f>
        <v/>
      </c>
      <c r="F17">
        <f>IF(E17="MATCH",100,0)</f>
        <v/>
      </c>
      <c r="G17">
        <f>IF(E17="MATCH",IF(D17=1,100,IF(D17=2,85,70)),0)</f>
        <v/>
      </c>
      <c r="H17">
        <f>IF(E17="MATCH",80+MOD(ROW(),21),0)</f>
        <v/>
      </c>
      <c r="I17">
        <f>IF(E17="MATCH",MAX(0,100-'2_Inventory_Data'!J14*0.3),0)</f>
        <v/>
      </c>
      <c r="J17">
        <f>IF(E17="FILTERED",0,ROUND((IF('1_Inputs'!$E$5="All Ages",50,IF('1_Inputs'!$E$5="25-44",('2_Inventory_Data'!S14+'2_Inventory_Data'!T14)*100,IF('1_Inputs'!$E$5="18-24",'2_Inventory_Data'!R14*100,IF('1_Inputs'!$E$5="25-34",'2_Inventory_Data'!S14*100,IF('1_Inputs'!$E$5="35-44",'2_Inventory_Data'!T14*100,IF('1_Inputs'!$E$5="45-54",'2_Inventory_Data'!U14*100,IF('1_Inputs'!$E$5="55+",'2_Inventory_Data'!V14*100,50)))))))+IF('1_Inputs'!$E$8="All",50,IF('1_Inputs'!$E$8="Travel",'2_Inventory_Data'!AC14*100,IF('1_Inputs'!$E$8="Fashion",'2_Inventory_Data'!AD14*100,IF('1_Inputs'!$E$8="Technology",'2_Inventory_Data'!AE14*100,IF('1_Inputs'!$E$8="Food &amp; Beverage",'2_Inventory_Data'!AF14*100,50)))))+IF('1_Inputs'!$E$9="All",50,IF('1_Inputs'!$E$9="Commuters",'2_Inventory_Data'!AG14*100,IF('1_Inputs'!$E$9="Shoppers",'2_Inventory_Data'!AH14*100,IF('1_Inputs'!$E$9="Business Travelers",'2_Inventory_Data'!AI14*100,IF('1_Inputs'!$E$9="Tourists",'2_Inventory_Data'!AJ14*100,50))))))/3,1))</f>
        <v/>
      </c>
      <c r="K17">
        <f>IF(E17="FILTERED",0,IF(OR('2_Inventory_Data'!I14="Transit: Airport",'2_Inventory_Data'!I14="Transit: Rail/Metro Station"),90,IF('2_Inventory_Data'!I14="Retail: Shopping Center",75,65)))</f>
        <v/>
      </c>
      <c r="L17">
        <f>IF(E17="FILTERED",0,MIN(100,'2_Inventory_Data'!L14/5000))</f>
        <v/>
      </c>
      <c r="M17">
        <f>IF(E17="FILTERED",0,MIN(100,'2_Inventory_Data'!N14*4.5))</f>
        <v/>
      </c>
      <c r="N17">
        <f>IF(E17="FILTERED",0,ROUND(G17*0.15+H17*0.10+I17*0.18+J17*0.22+K17*0.10+L17*0.10+M17*0.10+F17*0.05,1))</f>
        <v/>
      </c>
      <c r="O17">
        <f>IF(N17=0,"",RANK(N17,$N$5:$N$44,0))</f>
        <v/>
      </c>
      <c r="P17">
        <f>IF(OR(E17="FILTERED",'2_Inventory_Data'!F14&lt;&gt;"Digital"),"",COUNTIFS($E$5:$E$44,"MATCH",'2_Inventory_Data'!$F$2:$F$41,"Digital",$N$5:$N$44,"&gt;"&amp;N17)+1)</f>
        <v/>
      </c>
      <c r="Q17">
        <f>IF(OR(E17="FILTERED",'2_Inventory_Data'!F14&lt;&gt;"Classic"),"",COUNTIFS($E$5:$E$44,"MATCH",'2_Inventory_Data'!$F$2:$F$41,"Classic",$N$5:$N$44,"&gt;"&amp;N17)+1)</f>
        <v/>
      </c>
      <c r="R17">
        <f>IF(OR(E17="FILTERED",'2_Inventory_Data'!F14&lt;&gt;"Audio"),"",COUNTIFS($E$5:$E$44,"MATCH",'2_Inventory_Data'!$F$2:$F$41,"Audio",$N$5:$N$44,"&gt;"&amp;N17)+1)</f>
        <v/>
      </c>
    </row>
    <row r="18">
      <c r="A18">
        <f>'2_Inventory_Data'!A15</f>
        <v/>
      </c>
      <c r="B18">
        <f>'2_Inventory_Data'!B15</f>
        <v/>
      </c>
      <c r="C18">
        <f>'2_Inventory_Data'!D15</f>
        <v/>
      </c>
      <c r="D18">
        <f>'2_Inventory_Data'!E15</f>
        <v/>
      </c>
      <c r="E18">
        <f>IF(AND('2_Inventory_Data'!C15='1_Inputs'!$B$5,OR('1_Inputs'!$B$6="All Cities",'2_Inventory_Data'!D15='1_Inputs'!$B$6),OR('1_Inputs'!$B$14="All Venues",'2_Inventory_Data'!I15='1_Inputs'!$B$14),OR('1_Inputs'!$B$15="All",'2_Inventory_Data'!F15='1_Inputs'!$B$15),OR('1_Inputs'!$B$16="All",'2_Inventory_Data'!G15='1_Inputs'!$B$16)),"MATCH","FILTERED")</f>
        <v/>
      </c>
      <c r="F18">
        <f>IF(E18="MATCH",100,0)</f>
        <v/>
      </c>
      <c r="G18">
        <f>IF(E18="MATCH",IF(D18=1,100,IF(D18=2,85,70)),0)</f>
        <v/>
      </c>
      <c r="H18">
        <f>IF(E18="MATCH",80+MOD(ROW(),21),0)</f>
        <v/>
      </c>
      <c r="I18">
        <f>IF(E18="MATCH",MAX(0,100-'2_Inventory_Data'!J15*0.3),0)</f>
        <v/>
      </c>
      <c r="J18">
        <f>IF(E18="FILTERED",0,ROUND((IF('1_Inputs'!$E$5="All Ages",50,IF('1_Inputs'!$E$5="25-44",('2_Inventory_Data'!S15+'2_Inventory_Data'!T15)*100,IF('1_Inputs'!$E$5="18-24",'2_Inventory_Data'!R15*100,IF('1_Inputs'!$E$5="25-34",'2_Inventory_Data'!S15*100,IF('1_Inputs'!$E$5="35-44",'2_Inventory_Data'!T15*100,IF('1_Inputs'!$E$5="45-54",'2_Inventory_Data'!U15*100,IF('1_Inputs'!$E$5="55+",'2_Inventory_Data'!V15*100,50)))))))+IF('1_Inputs'!$E$8="All",50,IF('1_Inputs'!$E$8="Travel",'2_Inventory_Data'!AC15*100,IF('1_Inputs'!$E$8="Fashion",'2_Inventory_Data'!AD15*100,IF('1_Inputs'!$E$8="Technology",'2_Inventory_Data'!AE15*100,IF('1_Inputs'!$E$8="Food &amp; Beverage",'2_Inventory_Data'!AF15*100,50)))))+IF('1_Inputs'!$E$9="All",50,IF('1_Inputs'!$E$9="Commuters",'2_Inventory_Data'!AG15*100,IF('1_Inputs'!$E$9="Shoppers",'2_Inventory_Data'!AH15*100,IF('1_Inputs'!$E$9="Business Travelers",'2_Inventory_Data'!AI15*100,IF('1_Inputs'!$E$9="Tourists",'2_Inventory_Data'!AJ15*100,50))))))/3,1))</f>
        <v/>
      </c>
      <c r="K18">
        <f>IF(E18="FILTERED",0,IF(OR('2_Inventory_Data'!I15="Transit: Airport",'2_Inventory_Data'!I15="Transit: Rail/Metro Station"),90,IF('2_Inventory_Data'!I15="Retail: Shopping Center",75,65)))</f>
        <v/>
      </c>
      <c r="L18">
        <f>IF(E18="FILTERED",0,MIN(100,'2_Inventory_Data'!L15/5000))</f>
        <v/>
      </c>
      <c r="M18">
        <f>IF(E18="FILTERED",0,MIN(100,'2_Inventory_Data'!N15*4.5))</f>
        <v/>
      </c>
      <c r="N18">
        <f>IF(E18="FILTERED",0,ROUND(G18*0.15+H18*0.10+I18*0.18+J18*0.22+K18*0.10+L18*0.10+M18*0.10+F18*0.05,1))</f>
        <v/>
      </c>
      <c r="O18">
        <f>IF(N18=0,"",RANK(N18,$N$5:$N$44,0))</f>
        <v/>
      </c>
      <c r="P18">
        <f>IF(OR(E18="FILTERED",'2_Inventory_Data'!F15&lt;&gt;"Digital"),"",COUNTIFS($E$5:$E$44,"MATCH",'2_Inventory_Data'!$F$2:$F$41,"Digital",$N$5:$N$44,"&gt;"&amp;N18)+1)</f>
        <v/>
      </c>
      <c r="Q18">
        <f>IF(OR(E18="FILTERED",'2_Inventory_Data'!F15&lt;&gt;"Classic"),"",COUNTIFS($E$5:$E$44,"MATCH",'2_Inventory_Data'!$F$2:$F$41,"Classic",$N$5:$N$44,"&gt;"&amp;N18)+1)</f>
        <v/>
      </c>
      <c r="R18">
        <f>IF(OR(E18="FILTERED",'2_Inventory_Data'!F15&lt;&gt;"Audio"),"",COUNTIFS($E$5:$E$44,"MATCH",'2_Inventory_Data'!$F$2:$F$41,"Audio",$N$5:$N$44,"&gt;"&amp;N18)+1)</f>
        <v/>
      </c>
    </row>
    <row r="19">
      <c r="A19">
        <f>'2_Inventory_Data'!A16</f>
        <v/>
      </c>
      <c r="B19">
        <f>'2_Inventory_Data'!B16</f>
        <v/>
      </c>
      <c r="C19">
        <f>'2_Inventory_Data'!D16</f>
        <v/>
      </c>
      <c r="D19">
        <f>'2_Inventory_Data'!E16</f>
        <v/>
      </c>
      <c r="E19">
        <f>IF(AND('2_Inventory_Data'!C16='1_Inputs'!$B$5,OR('1_Inputs'!$B$6="All Cities",'2_Inventory_Data'!D16='1_Inputs'!$B$6),OR('1_Inputs'!$B$14="All Venues",'2_Inventory_Data'!I16='1_Inputs'!$B$14),OR('1_Inputs'!$B$15="All",'2_Inventory_Data'!F16='1_Inputs'!$B$15),OR('1_Inputs'!$B$16="All",'2_Inventory_Data'!G16='1_Inputs'!$B$16)),"MATCH","FILTERED")</f>
        <v/>
      </c>
      <c r="F19">
        <f>IF(E19="MATCH",100,0)</f>
        <v/>
      </c>
      <c r="G19">
        <f>IF(E19="MATCH",IF(D19=1,100,IF(D19=2,85,70)),0)</f>
        <v/>
      </c>
      <c r="H19">
        <f>IF(E19="MATCH",80+MOD(ROW(),21),0)</f>
        <v/>
      </c>
      <c r="I19">
        <f>IF(E19="MATCH",MAX(0,100-'2_Inventory_Data'!J16*0.3),0)</f>
        <v/>
      </c>
      <c r="J19">
        <f>IF(E19="FILTERED",0,ROUND((IF('1_Inputs'!$E$5="All Ages",50,IF('1_Inputs'!$E$5="25-44",('2_Inventory_Data'!S16+'2_Inventory_Data'!T16)*100,IF('1_Inputs'!$E$5="18-24",'2_Inventory_Data'!R16*100,IF('1_Inputs'!$E$5="25-34",'2_Inventory_Data'!S16*100,IF('1_Inputs'!$E$5="35-44",'2_Inventory_Data'!T16*100,IF('1_Inputs'!$E$5="45-54",'2_Inventory_Data'!U16*100,IF('1_Inputs'!$E$5="55+",'2_Inventory_Data'!V16*100,50)))))))+IF('1_Inputs'!$E$8="All",50,IF('1_Inputs'!$E$8="Travel",'2_Inventory_Data'!AC16*100,IF('1_Inputs'!$E$8="Fashion",'2_Inventory_Data'!AD16*100,IF('1_Inputs'!$E$8="Technology",'2_Inventory_Data'!AE16*100,IF('1_Inputs'!$E$8="Food &amp; Beverage",'2_Inventory_Data'!AF16*100,50)))))+IF('1_Inputs'!$E$9="All",50,IF('1_Inputs'!$E$9="Commuters",'2_Inventory_Data'!AG16*100,IF('1_Inputs'!$E$9="Shoppers",'2_Inventory_Data'!AH16*100,IF('1_Inputs'!$E$9="Business Travelers",'2_Inventory_Data'!AI16*100,IF('1_Inputs'!$E$9="Tourists",'2_Inventory_Data'!AJ16*100,50))))))/3,1))</f>
        <v/>
      </c>
      <c r="K19">
        <f>IF(E19="FILTERED",0,IF(OR('2_Inventory_Data'!I16="Transit: Airport",'2_Inventory_Data'!I16="Transit: Rail/Metro Station"),90,IF('2_Inventory_Data'!I16="Retail: Shopping Center",75,65)))</f>
        <v/>
      </c>
      <c r="L19">
        <f>IF(E19="FILTERED",0,MIN(100,'2_Inventory_Data'!L16/5000))</f>
        <v/>
      </c>
      <c r="M19">
        <f>IF(E19="FILTERED",0,MIN(100,'2_Inventory_Data'!N16*4.5))</f>
        <v/>
      </c>
      <c r="N19">
        <f>IF(E19="FILTERED",0,ROUND(G19*0.15+H19*0.10+I19*0.18+J19*0.22+K19*0.10+L19*0.10+M19*0.10+F19*0.05,1))</f>
        <v/>
      </c>
      <c r="O19">
        <f>IF(N19=0,"",RANK(N19,$N$5:$N$44,0))</f>
        <v/>
      </c>
      <c r="P19">
        <f>IF(OR(E19="FILTERED",'2_Inventory_Data'!F16&lt;&gt;"Digital"),"",COUNTIFS($E$5:$E$44,"MATCH",'2_Inventory_Data'!$F$2:$F$41,"Digital",$N$5:$N$44,"&gt;"&amp;N19)+1)</f>
        <v/>
      </c>
      <c r="Q19">
        <f>IF(OR(E19="FILTERED",'2_Inventory_Data'!F16&lt;&gt;"Classic"),"",COUNTIFS($E$5:$E$44,"MATCH",'2_Inventory_Data'!$F$2:$F$41,"Classic",$N$5:$N$44,"&gt;"&amp;N19)+1)</f>
        <v/>
      </c>
      <c r="R19">
        <f>IF(OR(E19="FILTERED",'2_Inventory_Data'!F16&lt;&gt;"Audio"),"",COUNTIFS($E$5:$E$44,"MATCH",'2_Inventory_Data'!$F$2:$F$41,"Audio",$N$5:$N$44,"&gt;"&amp;N19)+1)</f>
        <v/>
      </c>
    </row>
    <row r="20">
      <c r="A20">
        <f>'2_Inventory_Data'!A17</f>
        <v/>
      </c>
      <c r="B20">
        <f>'2_Inventory_Data'!B17</f>
        <v/>
      </c>
      <c r="C20">
        <f>'2_Inventory_Data'!D17</f>
        <v/>
      </c>
      <c r="D20">
        <f>'2_Inventory_Data'!E17</f>
        <v/>
      </c>
      <c r="E20">
        <f>IF(AND('2_Inventory_Data'!C17='1_Inputs'!$B$5,OR('1_Inputs'!$B$6="All Cities",'2_Inventory_Data'!D17='1_Inputs'!$B$6),OR('1_Inputs'!$B$14="All Venues",'2_Inventory_Data'!I17='1_Inputs'!$B$14),OR('1_Inputs'!$B$15="All",'2_Inventory_Data'!F17='1_Inputs'!$B$15),OR('1_Inputs'!$B$16="All",'2_Inventory_Data'!G17='1_Inputs'!$B$16)),"MATCH","FILTERED")</f>
        <v/>
      </c>
      <c r="F20">
        <f>IF(E20="MATCH",100,0)</f>
        <v/>
      </c>
      <c r="G20">
        <f>IF(E20="MATCH",IF(D20=1,100,IF(D20=2,85,70)),0)</f>
        <v/>
      </c>
      <c r="H20">
        <f>IF(E20="MATCH",80+MOD(ROW(),21),0)</f>
        <v/>
      </c>
      <c r="I20">
        <f>IF(E20="MATCH",MAX(0,100-'2_Inventory_Data'!J17*0.3),0)</f>
        <v/>
      </c>
      <c r="J20">
        <f>IF(E20="FILTERED",0,ROUND((IF('1_Inputs'!$E$5="All Ages",50,IF('1_Inputs'!$E$5="25-44",('2_Inventory_Data'!S17+'2_Inventory_Data'!T17)*100,IF('1_Inputs'!$E$5="18-24",'2_Inventory_Data'!R17*100,IF('1_Inputs'!$E$5="25-34",'2_Inventory_Data'!S17*100,IF('1_Inputs'!$E$5="35-44",'2_Inventory_Data'!T17*100,IF('1_Inputs'!$E$5="45-54",'2_Inventory_Data'!U17*100,IF('1_Inputs'!$E$5="55+",'2_Inventory_Data'!V17*100,50)))))))+IF('1_Inputs'!$E$8="All",50,IF('1_Inputs'!$E$8="Travel",'2_Inventory_Data'!AC17*100,IF('1_Inputs'!$E$8="Fashion",'2_Inventory_Data'!AD17*100,IF('1_Inputs'!$E$8="Technology",'2_Inventory_Data'!AE17*100,IF('1_Inputs'!$E$8="Food &amp; Beverage",'2_Inventory_Data'!AF17*100,50)))))+IF('1_Inputs'!$E$9="All",50,IF('1_Inputs'!$E$9="Commuters",'2_Inventory_Data'!AG17*100,IF('1_Inputs'!$E$9="Shoppers",'2_Inventory_Data'!AH17*100,IF('1_Inputs'!$E$9="Business Travelers",'2_Inventory_Data'!AI17*100,IF('1_Inputs'!$E$9="Tourists",'2_Inventory_Data'!AJ17*100,50))))))/3,1))</f>
        <v/>
      </c>
      <c r="K20">
        <f>IF(E20="FILTERED",0,IF(OR('2_Inventory_Data'!I17="Transit: Airport",'2_Inventory_Data'!I17="Transit: Rail/Metro Station"),90,IF('2_Inventory_Data'!I17="Retail: Shopping Center",75,65)))</f>
        <v/>
      </c>
      <c r="L20">
        <f>IF(E20="FILTERED",0,MIN(100,'2_Inventory_Data'!L17/5000))</f>
        <v/>
      </c>
      <c r="M20">
        <f>IF(E20="FILTERED",0,MIN(100,'2_Inventory_Data'!N17*4.5))</f>
        <v/>
      </c>
      <c r="N20">
        <f>IF(E20="FILTERED",0,ROUND(G20*0.15+H20*0.10+I20*0.18+J20*0.22+K20*0.10+L20*0.10+M20*0.10+F20*0.05,1))</f>
        <v/>
      </c>
      <c r="O20">
        <f>IF(N20=0,"",RANK(N20,$N$5:$N$44,0))</f>
        <v/>
      </c>
      <c r="P20">
        <f>IF(OR(E20="FILTERED",'2_Inventory_Data'!F17&lt;&gt;"Digital"),"",COUNTIFS($E$5:$E$44,"MATCH",'2_Inventory_Data'!$F$2:$F$41,"Digital",$N$5:$N$44,"&gt;"&amp;N20)+1)</f>
        <v/>
      </c>
      <c r="Q20">
        <f>IF(OR(E20="FILTERED",'2_Inventory_Data'!F17&lt;&gt;"Classic"),"",COUNTIFS($E$5:$E$44,"MATCH",'2_Inventory_Data'!$F$2:$F$41,"Classic",$N$5:$N$44,"&gt;"&amp;N20)+1)</f>
        <v/>
      </c>
      <c r="R20">
        <f>IF(OR(E20="FILTERED",'2_Inventory_Data'!F17&lt;&gt;"Audio"),"",COUNTIFS($E$5:$E$44,"MATCH",'2_Inventory_Data'!$F$2:$F$41,"Audio",$N$5:$N$44,"&gt;"&amp;N20)+1)</f>
        <v/>
      </c>
    </row>
    <row r="21">
      <c r="A21">
        <f>'2_Inventory_Data'!A18</f>
        <v/>
      </c>
      <c r="B21">
        <f>'2_Inventory_Data'!B18</f>
        <v/>
      </c>
      <c r="C21">
        <f>'2_Inventory_Data'!D18</f>
        <v/>
      </c>
      <c r="D21">
        <f>'2_Inventory_Data'!E18</f>
        <v/>
      </c>
      <c r="E21">
        <f>IF(AND('2_Inventory_Data'!C18='1_Inputs'!$B$5,OR('1_Inputs'!$B$6="All Cities",'2_Inventory_Data'!D18='1_Inputs'!$B$6),OR('1_Inputs'!$B$14="All Venues",'2_Inventory_Data'!I18='1_Inputs'!$B$14),OR('1_Inputs'!$B$15="All",'2_Inventory_Data'!F18='1_Inputs'!$B$15),OR('1_Inputs'!$B$16="All",'2_Inventory_Data'!G18='1_Inputs'!$B$16)),"MATCH","FILTERED")</f>
        <v/>
      </c>
      <c r="F21">
        <f>IF(E21="MATCH",100,0)</f>
        <v/>
      </c>
      <c r="G21">
        <f>IF(E21="MATCH",IF(D21=1,100,IF(D21=2,85,70)),0)</f>
        <v/>
      </c>
      <c r="H21">
        <f>IF(E21="MATCH",80+MOD(ROW(),21),0)</f>
        <v/>
      </c>
      <c r="I21">
        <f>IF(E21="MATCH",MAX(0,100-'2_Inventory_Data'!J18*0.3),0)</f>
        <v/>
      </c>
      <c r="J21">
        <f>IF(E21="FILTERED",0,ROUND((IF('1_Inputs'!$E$5="All Ages",50,IF('1_Inputs'!$E$5="25-44",('2_Inventory_Data'!S18+'2_Inventory_Data'!T18)*100,IF('1_Inputs'!$E$5="18-24",'2_Inventory_Data'!R18*100,IF('1_Inputs'!$E$5="25-34",'2_Inventory_Data'!S18*100,IF('1_Inputs'!$E$5="35-44",'2_Inventory_Data'!T18*100,IF('1_Inputs'!$E$5="45-54",'2_Inventory_Data'!U18*100,IF('1_Inputs'!$E$5="55+",'2_Inventory_Data'!V18*100,50)))))))+IF('1_Inputs'!$E$8="All",50,IF('1_Inputs'!$E$8="Travel",'2_Inventory_Data'!AC18*100,IF('1_Inputs'!$E$8="Fashion",'2_Inventory_Data'!AD18*100,IF('1_Inputs'!$E$8="Technology",'2_Inventory_Data'!AE18*100,IF('1_Inputs'!$E$8="Food &amp; Beverage",'2_Inventory_Data'!AF18*100,50)))))+IF('1_Inputs'!$E$9="All",50,IF('1_Inputs'!$E$9="Commuters",'2_Inventory_Data'!AG18*100,IF('1_Inputs'!$E$9="Shoppers",'2_Inventory_Data'!AH18*100,IF('1_Inputs'!$E$9="Business Travelers",'2_Inventory_Data'!AI18*100,IF('1_Inputs'!$E$9="Tourists",'2_Inventory_Data'!AJ18*100,50))))))/3,1))</f>
        <v/>
      </c>
      <c r="K21">
        <f>IF(E21="FILTERED",0,IF(OR('2_Inventory_Data'!I18="Transit: Airport",'2_Inventory_Data'!I18="Transit: Rail/Metro Station"),90,IF('2_Inventory_Data'!I18="Retail: Shopping Center",75,65)))</f>
        <v/>
      </c>
      <c r="L21">
        <f>IF(E21="FILTERED",0,MIN(100,'2_Inventory_Data'!L18/5000))</f>
        <v/>
      </c>
      <c r="M21">
        <f>IF(E21="FILTERED",0,MIN(100,'2_Inventory_Data'!N18*4.5))</f>
        <v/>
      </c>
      <c r="N21">
        <f>IF(E21="FILTERED",0,ROUND(G21*0.15+H21*0.10+I21*0.18+J21*0.22+K21*0.10+L21*0.10+M21*0.10+F21*0.05,1))</f>
        <v/>
      </c>
      <c r="O21">
        <f>IF(N21=0,"",RANK(N21,$N$5:$N$44,0))</f>
        <v/>
      </c>
      <c r="P21">
        <f>IF(OR(E21="FILTERED",'2_Inventory_Data'!F18&lt;&gt;"Digital"),"",COUNTIFS($E$5:$E$44,"MATCH",'2_Inventory_Data'!$F$2:$F$41,"Digital",$N$5:$N$44,"&gt;"&amp;N21)+1)</f>
        <v/>
      </c>
      <c r="Q21">
        <f>IF(OR(E21="FILTERED",'2_Inventory_Data'!F18&lt;&gt;"Classic"),"",COUNTIFS($E$5:$E$44,"MATCH",'2_Inventory_Data'!$F$2:$F$41,"Classic",$N$5:$N$44,"&gt;"&amp;N21)+1)</f>
        <v/>
      </c>
      <c r="R21">
        <f>IF(OR(E21="FILTERED",'2_Inventory_Data'!F18&lt;&gt;"Audio"),"",COUNTIFS($E$5:$E$44,"MATCH",'2_Inventory_Data'!$F$2:$F$41,"Audio",$N$5:$N$44,"&gt;"&amp;N21)+1)</f>
        <v/>
      </c>
    </row>
    <row r="22">
      <c r="A22">
        <f>'2_Inventory_Data'!A19</f>
        <v/>
      </c>
      <c r="B22">
        <f>'2_Inventory_Data'!B19</f>
        <v/>
      </c>
      <c r="C22">
        <f>'2_Inventory_Data'!D19</f>
        <v/>
      </c>
      <c r="D22">
        <f>'2_Inventory_Data'!E19</f>
        <v/>
      </c>
      <c r="E22">
        <f>IF(AND('2_Inventory_Data'!C19='1_Inputs'!$B$5,OR('1_Inputs'!$B$6="All Cities",'2_Inventory_Data'!D19='1_Inputs'!$B$6),OR('1_Inputs'!$B$14="All Venues",'2_Inventory_Data'!I19='1_Inputs'!$B$14),OR('1_Inputs'!$B$15="All",'2_Inventory_Data'!F19='1_Inputs'!$B$15),OR('1_Inputs'!$B$16="All",'2_Inventory_Data'!G19='1_Inputs'!$B$16)),"MATCH","FILTERED")</f>
        <v/>
      </c>
      <c r="F22">
        <f>IF(E22="MATCH",100,0)</f>
        <v/>
      </c>
      <c r="G22">
        <f>IF(E22="MATCH",IF(D22=1,100,IF(D22=2,85,70)),0)</f>
        <v/>
      </c>
      <c r="H22">
        <f>IF(E22="MATCH",80+MOD(ROW(),21),0)</f>
        <v/>
      </c>
      <c r="I22">
        <f>IF(E22="MATCH",MAX(0,100-'2_Inventory_Data'!J19*0.3),0)</f>
        <v/>
      </c>
      <c r="J22">
        <f>IF(E22="FILTERED",0,ROUND((IF('1_Inputs'!$E$5="All Ages",50,IF('1_Inputs'!$E$5="25-44",('2_Inventory_Data'!S19+'2_Inventory_Data'!T19)*100,IF('1_Inputs'!$E$5="18-24",'2_Inventory_Data'!R19*100,IF('1_Inputs'!$E$5="25-34",'2_Inventory_Data'!S19*100,IF('1_Inputs'!$E$5="35-44",'2_Inventory_Data'!T19*100,IF('1_Inputs'!$E$5="45-54",'2_Inventory_Data'!U19*100,IF('1_Inputs'!$E$5="55+",'2_Inventory_Data'!V19*100,50)))))))+IF('1_Inputs'!$E$8="All",50,IF('1_Inputs'!$E$8="Travel",'2_Inventory_Data'!AC19*100,IF('1_Inputs'!$E$8="Fashion",'2_Inventory_Data'!AD19*100,IF('1_Inputs'!$E$8="Technology",'2_Inventory_Data'!AE19*100,IF('1_Inputs'!$E$8="Food &amp; Beverage",'2_Inventory_Data'!AF19*100,50)))))+IF('1_Inputs'!$E$9="All",50,IF('1_Inputs'!$E$9="Commuters",'2_Inventory_Data'!AG19*100,IF('1_Inputs'!$E$9="Shoppers",'2_Inventory_Data'!AH19*100,IF('1_Inputs'!$E$9="Business Travelers",'2_Inventory_Data'!AI19*100,IF('1_Inputs'!$E$9="Tourists",'2_Inventory_Data'!AJ19*100,50))))))/3,1))</f>
        <v/>
      </c>
      <c r="K22">
        <f>IF(E22="FILTERED",0,IF(OR('2_Inventory_Data'!I19="Transit: Airport",'2_Inventory_Data'!I19="Transit: Rail/Metro Station"),90,IF('2_Inventory_Data'!I19="Retail: Shopping Center",75,65)))</f>
        <v/>
      </c>
      <c r="L22">
        <f>IF(E22="FILTERED",0,MIN(100,'2_Inventory_Data'!L19/5000))</f>
        <v/>
      </c>
      <c r="M22">
        <f>IF(E22="FILTERED",0,MIN(100,'2_Inventory_Data'!N19*4.5))</f>
        <v/>
      </c>
      <c r="N22">
        <f>IF(E22="FILTERED",0,ROUND(G22*0.15+H22*0.10+I22*0.18+J22*0.22+K22*0.10+L22*0.10+M22*0.10+F22*0.05,1))</f>
        <v/>
      </c>
      <c r="O22">
        <f>IF(N22=0,"",RANK(N22,$N$5:$N$44,0))</f>
        <v/>
      </c>
      <c r="P22">
        <f>IF(OR(E22="FILTERED",'2_Inventory_Data'!F19&lt;&gt;"Digital"),"",COUNTIFS($E$5:$E$44,"MATCH",'2_Inventory_Data'!$F$2:$F$41,"Digital",$N$5:$N$44,"&gt;"&amp;N22)+1)</f>
        <v/>
      </c>
      <c r="Q22">
        <f>IF(OR(E22="FILTERED",'2_Inventory_Data'!F19&lt;&gt;"Classic"),"",COUNTIFS($E$5:$E$44,"MATCH",'2_Inventory_Data'!$F$2:$F$41,"Classic",$N$5:$N$44,"&gt;"&amp;N22)+1)</f>
        <v/>
      </c>
      <c r="R22">
        <f>IF(OR(E22="FILTERED",'2_Inventory_Data'!F19&lt;&gt;"Audio"),"",COUNTIFS($E$5:$E$44,"MATCH",'2_Inventory_Data'!$F$2:$F$41,"Audio",$N$5:$N$44,"&gt;"&amp;N22)+1)</f>
        <v/>
      </c>
    </row>
    <row r="23">
      <c r="A23">
        <f>'2_Inventory_Data'!A20</f>
        <v/>
      </c>
      <c r="B23">
        <f>'2_Inventory_Data'!B20</f>
        <v/>
      </c>
      <c r="C23">
        <f>'2_Inventory_Data'!D20</f>
        <v/>
      </c>
      <c r="D23">
        <f>'2_Inventory_Data'!E20</f>
        <v/>
      </c>
      <c r="E23">
        <f>IF(AND('2_Inventory_Data'!C20='1_Inputs'!$B$5,OR('1_Inputs'!$B$6="All Cities",'2_Inventory_Data'!D20='1_Inputs'!$B$6),OR('1_Inputs'!$B$14="All Venues",'2_Inventory_Data'!I20='1_Inputs'!$B$14),OR('1_Inputs'!$B$15="All",'2_Inventory_Data'!F20='1_Inputs'!$B$15),OR('1_Inputs'!$B$16="All",'2_Inventory_Data'!G20='1_Inputs'!$B$16)),"MATCH","FILTERED")</f>
        <v/>
      </c>
      <c r="F23">
        <f>IF(E23="MATCH",100,0)</f>
        <v/>
      </c>
      <c r="G23">
        <f>IF(E23="MATCH",IF(D23=1,100,IF(D23=2,85,70)),0)</f>
        <v/>
      </c>
      <c r="H23">
        <f>IF(E23="MATCH",80+MOD(ROW(),21),0)</f>
        <v/>
      </c>
      <c r="I23">
        <f>IF(E23="MATCH",MAX(0,100-'2_Inventory_Data'!J20*0.3),0)</f>
        <v/>
      </c>
      <c r="J23">
        <f>IF(E23="FILTERED",0,ROUND((IF('1_Inputs'!$E$5="All Ages",50,IF('1_Inputs'!$E$5="25-44",('2_Inventory_Data'!S20+'2_Inventory_Data'!T20)*100,IF('1_Inputs'!$E$5="18-24",'2_Inventory_Data'!R20*100,IF('1_Inputs'!$E$5="25-34",'2_Inventory_Data'!S20*100,IF('1_Inputs'!$E$5="35-44",'2_Inventory_Data'!T20*100,IF('1_Inputs'!$E$5="45-54",'2_Inventory_Data'!U20*100,IF('1_Inputs'!$E$5="55+",'2_Inventory_Data'!V20*100,50)))))))+IF('1_Inputs'!$E$8="All",50,IF('1_Inputs'!$E$8="Travel",'2_Inventory_Data'!AC20*100,IF('1_Inputs'!$E$8="Fashion",'2_Inventory_Data'!AD20*100,IF('1_Inputs'!$E$8="Technology",'2_Inventory_Data'!AE20*100,IF('1_Inputs'!$E$8="Food &amp; Beverage",'2_Inventory_Data'!AF20*100,50)))))+IF('1_Inputs'!$E$9="All",50,IF('1_Inputs'!$E$9="Commuters",'2_Inventory_Data'!AG20*100,IF('1_Inputs'!$E$9="Shoppers",'2_Inventory_Data'!AH20*100,IF('1_Inputs'!$E$9="Business Travelers",'2_Inventory_Data'!AI20*100,IF('1_Inputs'!$E$9="Tourists",'2_Inventory_Data'!AJ20*100,50))))))/3,1))</f>
        <v/>
      </c>
      <c r="K23">
        <f>IF(E23="FILTERED",0,IF(OR('2_Inventory_Data'!I20="Transit: Airport",'2_Inventory_Data'!I20="Transit: Rail/Metro Station"),90,IF('2_Inventory_Data'!I20="Retail: Shopping Center",75,65)))</f>
        <v/>
      </c>
      <c r="L23">
        <f>IF(E23="FILTERED",0,MIN(100,'2_Inventory_Data'!L20/5000))</f>
        <v/>
      </c>
      <c r="M23">
        <f>IF(E23="FILTERED",0,MIN(100,'2_Inventory_Data'!N20*4.5))</f>
        <v/>
      </c>
      <c r="N23">
        <f>IF(E23="FILTERED",0,ROUND(G23*0.15+H23*0.10+I23*0.18+J23*0.22+K23*0.10+L23*0.10+M23*0.10+F23*0.05,1))</f>
        <v/>
      </c>
      <c r="O23">
        <f>IF(N23=0,"",RANK(N23,$N$5:$N$44,0))</f>
        <v/>
      </c>
      <c r="P23">
        <f>IF(OR(E23="FILTERED",'2_Inventory_Data'!F20&lt;&gt;"Digital"),"",COUNTIFS($E$5:$E$44,"MATCH",'2_Inventory_Data'!$F$2:$F$41,"Digital",$N$5:$N$44,"&gt;"&amp;N23)+1)</f>
        <v/>
      </c>
      <c r="Q23">
        <f>IF(OR(E23="FILTERED",'2_Inventory_Data'!F20&lt;&gt;"Classic"),"",COUNTIFS($E$5:$E$44,"MATCH",'2_Inventory_Data'!$F$2:$F$41,"Classic",$N$5:$N$44,"&gt;"&amp;N23)+1)</f>
        <v/>
      </c>
      <c r="R23">
        <f>IF(OR(E23="FILTERED",'2_Inventory_Data'!F20&lt;&gt;"Audio"),"",COUNTIFS($E$5:$E$44,"MATCH",'2_Inventory_Data'!$F$2:$F$41,"Audio",$N$5:$N$44,"&gt;"&amp;N23)+1)</f>
        <v/>
      </c>
    </row>
    <row r="24">
      <c r="A24">
        <f>'2_Inventory_Data'!A21</f>
        <v/>
      </c>
      <c r="B24">
        <f>'2_Inventory_Data'!B21</f>
        <v/>
      </c>
      <c r="C24">
        <f>'2_Inventory_Data'!D21</f>
        <v/>
      </c>
      <c r="D24">
        <f>'2_Inventory_Data'!E21</f>
        <v/>
      </c>
      <c r="E24">
        <f>IF(AND('2_Inventory_Data'!C21='1_Inputs'!$B$5,OR('1_Inputs'!$B$6="All Cities",'2_Inventory_Data'!D21='1_Inputs'!$B$6),OR('1_Inputs'!$B$14="All Venues",'2_Inventory_Data'!I21='1_Inputs'!$B$14),OR('1_Inputs'!$B$15="All",'2_Inventory_Data'!F21='1_Inputs'!$B$15),OR('1_Inputs'!$B$16="All",'2_Inventory_Data'!G21='1_Inputs'!$B$16)),"MATCH","FILTERED")</f>
        <v/>
      </c>
      <c r="F24">
        <f>IF(E24="MATCH",100,0)</f>
        <v/>
      </c>
      <c r="G24">
        <f>IF(E24="MATCH",IF(D24=1,100,IF(D24=2,85,70)),0)</f>
        <v/>
      </c>
      <c r="H24">
        <f>IF(E24="MATCH",80+MOD(ROW(),21),0)</f>
        <v/>
      </c>
      <c r="I24">
        <f>IF(E24="MATCH",MAX(0,100-'2_Inventory_Data'!J21*0.3),0)</f>
        <v/>
      </c>
      <c r="J24">
        <f>IF(E24="FILTERED",0,ROUND((IF('1_Inputs'!$E$5="All Ages",50,IF('1_Inputs'!$E$5="25-44",('2_Inventory_Data'!S21+'2_Inventory_Data'!T21)*100,IF('1_Inputs'!$E$5="18-24",'2_Inventory_Data'!R21*100,IF('1_Inputs'!$E$5="25-34",'2_Inventory_Data'!S21*100,IF('1_Inputs'!$E$5="35-44",'2_Inventory_Data'!T21*100,IF('1_Inputs'!$E$5="45-54",'2_Inventory_Data'!U21*100,IF('1_Inputs'!$E$5="55+",'2_Inventory_Data'!V21*100,50)))))))+IF('1_Inputs'!$E$8="All",50,IF('1_Inputs'!$E$8="Travel",'2_Inventory_Data'!AC21*100,IF('1_Inputs'!$E$8="Fashion",'2_Inventory_Data'!AD21*100,IF('1_Inputs'!$E$8="Technology",'2_Inventory_Data'!AE21*100,IF('1_Inputs'!$E$8="Food &amp; Beverage",'2_Inventory_Data'!AF21*100,50)))))+IF('1_Inputs'!$E$9="All",50,IF('1_Inputs'!$E$9="Commuters",'2_Inventory_Data'!AG21*100,IF('1_Inputs'!$E$9="Shoppers",'2_Inventory_Data'!AH21*100,IF('1_Inputs'!$E$9="Business Travelers",'2_Inventory_Data'!AI21*100,IF('1_Inputs'!$E$9="Tourists",'2_Inventory_Data'!AJ21*100,50))))))/3,1))</f>
        <v/>
      </c>
      <c r="K24">
        <f>IF(E24="FILTERED",0,IF(OR('2_Inventory_Data'!I21="Transit: Airport",'2_Inventory_Data'!I21="Transit: Rail/Metro Station"),90,IF('2_Inventory_Data'!I21="Retail: Shopping Center",75,65)))</f>
        <v/>
      </c>
      <c r="L24">
        <f>IF(E24="FILTERED",0,MIN(100,'2_Inventory_Data'!L21/5000))</f>
        <v/>
      </c>
      <c r="M24">
        <f>IF(E24="FILTERED",0,MIN(100,'2_Inventory_Data'!N21*4.5))</f>
        <v/>
      </c>
      <c r="N24">
        <f>IF(E24="FILTERED",0,ROUND(G24*0.15+H24*0.10+I24*0.18+J24*0.22+K24*0.10+L24*0.10+M24*0.10+F24*0.05,1))</f>
        <v/>
      </c>
      <c r="O24">
        <f>IF(N24=0,"",RANK(N24,$N$5:$N$44,0))</f>
        <v/>
      </c>
      <c r="P24">
        <f>IF(OR(E24="FILTERED",'2_Inventory_Data'!F21&lt;&gt;"Digital"),"",COUNTIFS($E$5:$E$44,"MATCH",'2_Inventory_Data'!$F$2:$F$41,"Digital",$N$5:$N$44,"&gt;"&amp;N24)+1)</f>
        <v/>
      </c>
      <c r="Q24">
        <f>IF(OR(E24="FILTERED",'2_Inventory_Data'!F21&lt;&gt;"Classic"),"",COUNTIFS($E$5:$E$44,"MATCH",'2_Inventory_Data'!$F$2:$F$41,"Classic",$N$5:$N$44,"&gt;"&amp;N24)+1)</f>
        <v/>
      </c>
      <c r="R24">
        <f>IF(OR(E24="FILTERED",'2_Inventory_Data'!F21&lt;&gt;"Audio"),"",COUNTIFS($E$5:$E$44,"MATCH",'2_Inventory_Data'!$F$2:$F$41,"Audio",$N$5:$N$44,"&gt;"&amp;N24)+1)</f>
        <v/>
      </c>
    </row>
    <row r="25">
      <c r="A25">
        <f>'2_Inventory_Data'!A22</f>
        <v/>
      </c>
      <c r="B25">
        <f>'2_Inventory_Data'!B22</f>
        <v/>
      </c>
      <c r="C25">
        <f>'2_Inventory_Data'!D22</f>
        <v/>
      </c>
      <c r="D25">
        <f>'2_Inventory_Data'!E22</f>
        <v/>
      </c>
      <c r="E25">
        <f>IF(AND('2_Inventory_Data'!C22='1_Inputs'!$B$5,OR('1_Inputs'!$B$6="All Cities",'2_Inventory_Data'!D22='1_Inputs'!$B$6),OR('1_Inputs'!$B$14="All Venues",'2_Inventory_Data'!I22='1_Inputs'!$B$14),OR('1_Inputs'!$B$15="All",'2_Inventory_Data'!F22='1_Inputs'!$B$15),OR('1_Inputs'!$B$16="All",'2_Inventory_Data'!G22='1_Inputs'!$B$16)),"MATCH","FILTERED")</f>
        <v/>
      </c>
      <c r="F25">
        <f>IF(E25="MATCH",100,0)</f>
        <v/>
      </c>
      <c r="G25">
        <f>IF(E25="MATCH",IF(D25=1,100,IF(D25=2,85,70)),0)</f>
        <v/>
      </c>
      <c r="H25">
        <f>IF(E25="MATCH",80+MOD(ROW(),21),0)</f>
        <v/>
      </c>
      <c r="I25">
        <f>IF(E25="MATCH",MAX(0,100-'2_Inventory_Data'!J22*0.3),0)</f>
        <v/>
      </c>
      <c r="J25">
        <f>IF(E25="FILTERED",0,ROUND((IF('1_Inputs'!$E$5="All Ages",50,IF('1_Inputs'!$E$5="25-44",('2_Inventory_Data'!S22+'2_Inventory_Data'!T22)*100,IF('1_Inputs'!$E$5="18-24",'2_Inventory_Data'!R22*100,IF('1_Inputs'!$E$5="25-34",'2_Inventory_Data'!S22*100,IF('1_Inputs'!$E$5="35-44",'2_Inventory_Data'!T22*100,IF('1_Inputs'!$E$5="45-54",'2_Inventory_Data'!U22*100,IF('1_Inputs'!$E$5="55+",'2_Inventory_Data'!V22*100,50)))))))+IF('1_Inputs'!$E$8="All",50,IF('1_Inputs'!$E$8="Travel",'2_Inventory_Data'!AC22*100,IF('1_Inputs'!$E$8="Fashion",'2_Inventory_Data'!AD22*100,IF('1_Inputs'!$E$8="Technology",'2_Inventory_Data'!AE22*100,IF('1_Inputs'!$E$8="Food &amp; Beverage",'2_Inventory_Data'!AF22*100,50)))))+IF('1_Inputs'!$E$9="All",50,IF('1_Inputs'!$E$9="Commuters",'2_Inventory_Data'!AG22*100,IF('1_Inputs'!$E$9="Shoppers",'2_Inventory_Data'!AH22*100,IF('1_Inputs'!$E$9="Business Travelers",'2_Inventory_Data'!AI22*100,IF('1_Inputs'!$E$9="Tourists",'2_Inventory_Data'!AJ22*100,50))))))/3,1))</f>
        <v/>
      </c>
      <c r="K25">
        <f>IF(E25="FILTERED",0,IF(OR('2_Inventory_Data'!I22="Transit: Airport",'2_Inventory_Data'!I22="Transit: Rail/Metro Station"),90,IF('2_Inventory_Data'!I22="Retail: Shopping Center",75,65)))</f>
        <v/>
      </c>
      <c r="L25">
        <f>IF(E25="FILTERED",0,MIN(100,'2_Inventory_Data'!L22/5000))</f>
        <v/>
      </c>
      <c r="M25">
        <f>IF(E25="FILTERED",0,MIN(100,'2_Inventory_Data'!N22*4.5))</f>
        <v/>
      </c>
      <c r="N25">
        <f>IF(E25="FILTERED",0,ROUND(G25*0.15+H25*0.10+I25*0.18+J25*0.22+K25*0.10+L25*0.10+M25*0.10+F25*0.05,1))</f>
        <v/>
      </c>
      <c r="O25">
        <f>IF(N25=0,"",RANK(N25,$N$5:$N$44,0))</f>
        <v/>
      </c>
      <c r="P25">
        <f>IF(OR(E25="FILTERED",'2_Inventory_Data'!F22&lt;&gt;"Digital"),"",COUNTIFS($E$5:$E$44,"MATCH",'2_Inventory_Data'!$F$2:$F$41,"Digital",$N$5:$N$44,"&gt;"&amp;N25)+1)</f>
        <v/>
      </c>
      <c r="Q25">
        <f>IF(OR(E25="FILTERED",'2_Inventory_Data'!F22&lt;&gt;"Classic"),"",COUNTIFS($E$5:$E$44,"MATCH",'2_Inventory_Data'!$F$2:$F$41,"Classic",$N$5:$N$44,"&gt;"&amp;N25)+1)</f>
        <v/>
      </c>
      <c r="R25">
        <f>IF(OR(E25="FILTERED",'2_Inventory_Data'!F22&lt;&gt;"Audio"),"",COUNTIFS($E$5:$E$44,"MATCH",'2_Inventory_Data'!$F$2:$F$41,"Audio",$N$5:$N$44,"&gt;"&amp;N25)+1)</f>
        <v/>
      </c>
    </row>
    <row r="26">
      <c r="A26">
        <f>'2_Inventory_Data'!A23</f>
        <v/>
      </c>
      <c r="B26">
        <f>'2_Inventory_Data'!B23</f>
        <v/>
      </c>
      <c r="C26">
        <f>'2_Inventory_Data'!D23</f>
        <v/>
      </c>
      <c r="D26">
        <f>'2_Inventory_Data'!E23</f>
        <v/>
      </c>
      <c r="E26">
        <f>IF(AND('2_Inventory_Data'!C23='1_Inputs'!$B$5,OR('1_Inputs'!$B$6="All Cities",'2_Inventory_Data'!D23='1_Inputs'!$B$6),OR('1_Inputs'!$B$14="All Venues",'2_Inventory_Data'!I23='1_Inputs'!$B$14),OR('1_Inputs'!$B$15="All",'2_Inventory_Data'!F23='1_Inputs'!$B$15),OR('1_Inputs'!$B$16="All",'2_Inventory_Data'!G23='1_Inputs'!$B$16)),"MATCH","FILTERED")</f>
        <v/>
      </c>
      <c r="F26">
        <f>IF(E26="MATCH",100,0)</f>
        <v/>
      </c>
      <c r="G26">
        <f>IF(E26="MATCH",IF(D26=1,100,IF(D26=2,85,70)),0)</f>
        <v/>
      </c>
      <c r="H26">
        <f>IF(E26="MATCH",80+MOD(ROW(),21),0)</f>
        <v/>
      </c>
      <c r="I26">
        <f>IF(E26="MATCH",MAX(0,100-'2_Inventory_Data'!J23*0.3),0)</f>
        <v/>
      </c>
      <c r="J26">
        <f>IF(E26="FILTERED",0,ROUND((IF('1_Inputs'!$E$5="All Ages",50,IF('1_Inputs'!$E$5="25-44",('2_Inventory_Data'!S23+'2_Inventory_Data'!T23)*100,IF('1_Inputs'!$E$5="18-24",'2_Inventory_Data'!R23*100,IF('1_Inputs'!$E$5="25-34",'2_Inventory_Data'!S23*100,IF('1_Inputs'!$E$5="35-44",'2_Inventory_Data'!T23*100,IF('1_Inputs'!$E$5="45-54",'2_Inventory_Data'!U23*100,IF('1_Inputs'!$E$5="55+",'2_Inventory_Data'!V23*100,50)))))))+IF('1_Inputs'!$E$8="All",50,IF('1_Inputs'!$E$8="Travel",'2_Inventory_Data'!AC23*100,IF('1_Inputs'!$E$8="Fashion",'2_Inventory_Data'!AD23*100,IF('1_Inputs'!$E$8="Technology",'2_Inventory_Data'!AE23*100,IF('1_Inputs'!$E$8="Food &amp; Beverage",'2_Inventory_Data'!AF23*100,50)))))+IF('1_Inputs'!$E$9="All",50,IF('1_Inputs'!$E$9="Commuters",'2_Inventory_Data'!AG23*100,IF('1_Inputs'!$E$9="Shoppers",'2_Inventory_Data'!AH23*100,IF('1_Inputs'!$E$9="Business Travelers",'2_Inventory_Data'!AI23*100,IF('1_Inputs'!$E$9="Tourists",'2_Inventory_Data'!AJ23*100,50))))))/3,1))</f>
        <v/>
      </c>
      <c r="K26">
        <f>IF(E26="FILTERED",0,IF(OR('2_Inventory_Data'!I23="Transit: Airport",'2_Inventory_Data'!I23="Transit: Rail/Metro Station"),90,IF('2_Inventory_Data'!I23="Retail: Shopping Center",75,65)))</f>
        <v/>
      </c>
      <c r="L26">
        <f>IF(E26="FILTERED",0,MIN(100,'2_Inventory_Data'!L23/5000))</f>
        <v/>
      </c>
      <c r="M26">
        <f>IF(E26="FILTERED",0,MIN(100,'2_Inventory_Data'!N23*4.5))</f>
        <v/>
      </c>
      <c r="N26">
        <f>IF(E26="FILTERED",0,ROUND(G26*0.15+H26*0.10+I26*0.18+J26*0.22+K26*0.10+L26*0.10+M26*0.10+F26*0.05,1))</f>
        <v/>
      </c>
      <c r="O26">
        <f>IF(N26=0,"",RANK(N26,$N$5:$N$44,0))</f>
        <v/>
      </c>
      <c r="P26">
        <f>IF(OR(E26="FILTERED",'2_Inventory_Data'!F23&lt;&gt;"Digital"),"",COUNTIFS($E$5:$E$44,"MATCH",'2_Inventory_Data'!$F$2:$F$41,"Digital",$N$5:$N$44,"&gt;"&amp;N26)+1)</f>
        <v/>
      </c>
      <c r="Q26">
        <f>IF(OR(E26="FILTERED",'2_Inventory_Data'!F23&lt;&gt;"Classic"),"",COUNTIFS($E$5:$E$44,"MATCH",'2_Inventory_Data'!$F$2:$F$41,"Classic",$N$5:$N$44,"&gt;"&amp;N26)+1)</f>
        <v/>
      </c>
      <c r="R26">
        <f>IF(OR(E26="FILTERED",'2_Inventory_Data'!F23&lt;&gt;"Audio"),"",COUNTIFS($E$5:$E$44,"MATCH",'2_Inventory_Data'!$F$2:$F$41,"Audio",$N$5:$N$44,"&gt;"&amp;N26)+1)</f>
        <v/>
      </c>
    </row>
    <row r="27">
      <c r="A27">
        <f>'2_Inventory_Data'!A24</f>
        <v/>
      </c>
      <c r="B27">
        <f>'2_Inventory_Data'!B24</f>
        <v/>
      </c>
      <c r="C27">
        <f>'2_Inventory_Data'!D24</f>
        <v/>
      </c>
      <c r="D27">
        <f>'2_Inventory_Data'!E24</f>
        <v/>
      </c>
      <c r="E27">
        <f>IF(AND('2_Inventory_Data'!C24='1_Inputs'!$B$5,OR('1_Inputs'!$B$6="All Cities",'2_Inventory_Data'!D24='1_Inputs'!$B$6),OR('1_Inputs'!$B$14="All Venues",'2_Inventory_Data'!I24='1_Inputs'!$B$14),OR('1_Inputs'!$B$15="All",'2_Inventory_Data'!F24='1_Inputs'!$B$15),OR('1_Inputs'!$B$16="All",'2_Inventory_Data'!G24='1_Inputs'!$B$16)),"MATCH","FILTERED")</f>
        <v/>
      </c>
      <c r="F27">
        <f>IF(E27="MATCH",100,0)</f>
        <v/>
      </c>
      <c r="G27">
        <f>IF(E27="MATCH",IF(D27=1,100,IF(D27=2,85,70)),0)</f>
        <v/>
      </c>
      <c r="H27">
        <f>IF(E27="MATCH",80+MOD(ROW(),21),0)</f>
        <v/>
      </c>
      <c r="I27">
        <f>IF(E27="MATCH",MAX(0,100-'2_Inventory_Data'!J24*0.3),0)</f>
        <v/>
      </c>
      <c r="J27">
        <f>IF(E27="FILTERED",0,ROUND((IF('1_Inputs'!$E$5="All Ages",50,IF('1_Inputs'!$E$5="25-44",('2_Inventory_Data'!S24+'2_Inventory_Data'!T24)*100,IF('1_Inputs'!$E$5="18-24",'2_Inventory_Data'!R24*100,IF('1_Inputs'!$E$5="25-34",'2_Inventory_Data'!S24*100,IF('1_Inputs'!$E$5="35-44",'2_Inventory_Data'!T24*100,IF('1_Inputs'!$E$5="45-54",'2_Inventory_Data'!U24*100,IF('1_Inputs'!$E$5="55+",'2_Inventory_Data'!V24*100,50)))))))+IF('1_Inputs'!$E$8="All",50,IF('1_Inputs'!$E$8="Travel",'2_Inventory_Data'!AC24*100,IF('1_Inputs'!$E$8="Fashion",'2_Inventory_Data'!AD24*100,IF('1_Inputs'!$E$8="Technology",'2_Inventory_Data'!AE24*100,IF('1_Inputs'!$E$8="Food &amp; Beverage",'2_Inventory_Data'!AF24*100,50)))))+IF('1_Inputs'!$E$9="All",50,IF('1_Inputs'!$E$9="Commuters",'2_Inventory_Data'!AG24*100,IF('1_Inputs'!$E$9="Shoppers",'2_Inventory_Data'!AH24*100,IF('1_Inputs'!$E$9="Business Travelers",'2_Inventory_Data'!AI24*100,IF('1_Inputs'!$E$9="Tourists",'2_Inventory_Data'!AJ24*100,50))))))/3,1))</f>
        <v/>
      </c>
      <c r="K27">
        <f>IF(E27="FILTERED",0,IF(OR('2_Inventory_Data'!I24="Transit: Airport",'2_Inventory_Data'!I24="Transit: Rail/Metro Station"),90,IF('2_Inventory_Data'!I24="Retail: Shopping Center",75,65)))</f>
        <v/>
      </c>
      <c r="L27">
        <f>IF(E27="FILTERED",0,MIN(100,'2_Inventory_Data'!L24/5000))</f>
        <v/>
      </c>
      <c r="M27">
        <f>IF(E27="FILTERED",0,MIN(100,'2_Inventory_Data'!N24*4.5))</f>
        <v/>
      </c>
      <c r="N27">
        <f>IF(E27="FILTERED",0,ROUND(G27*0.15+H27*0.10+I27*0.18+J27*0.22+K27*0.10+L27*0.10+M27*0.10+F27*0.05,1))</f>
        <v/>
      </c>
      <c r="O27">
        <f>IF(N27=0,"",RANK(N27,$N$5:$N$44,0))</f>
        <v/>
      </c>
      <c r="P27">
        <f>IF(OR(E27="FILTERED",'2_Inventory_Data'!F24&lt;&gt;"Digital"),"",COUNTIFS($E$5:$E$44,"MATCH",'2_Inventory_Data'!$F$2:$F$41,"Digital",$N$5:$N$44,"&gt;"&amp;N27)+1)</f>
        <v/>
      </c>
      <c r="Q27">
        <f>IF(OR(E27="FILTERED",'2_Inventory_Data'!F24&lt;&gt;"Classic"),"",COUNTIFS($E$5:$E$44,"MATCH",'2_Inventory_Data'!$F$2:$F$41,"Classic",$N$5:$N$44,"&gt;"&amp;N27)+1)</f>
        <v/>
      </c>
      <c r="R27">
        <f>IF(OR(E27="FILTERED",'2_Inventory_Data'!F24&lt;&gt;"Audio"),"",COUNTIFS($E$5:$E$44,"MATCH",'2_Inventory_Data'!$F$2:$F$41,"Audio",$N$5:$N$44,"&gt;"&amp;N27)+1)</f>
        <v/>
      </c>
    </row>
    <row r="28">
      <c r="A28">
        <f>'2_Inventory_Data'!A25</f>
        <v/>
      </c>
      <c r="B28">
        <f>'2_Inventory_Data'!B25</f>
        <v/>
      </c>
      <c r="C28">
        <f>'2_Inventory_Data'!D25</f>
        <v/>
      </c>
      <c r="D28">
        <f>'2_Inventory_Data'!E25</f>
        <v/>
      </c>
      <c r="E28">
        <f>IF(AND('2_Inventory_Data'!C25='1_Inputs'!$B$5,OR('1_Inputs'!$B$6="All Cities",'2_Inventory_Data'!D25='1_Inputs'!$B$6),OR('1_Inputs'!$B$14="All Venues",'2_Inventory_Data'!I25='1_Inputs'!$B$14),OR('1_Inputs'!$B$15="All",'2_Inventory_Data'!F25='1_Inputs'!$B$15),OR('1_Inputs'!$B$16="All",'2_Inventory_Data'!G25='1_Inputs'!$B$16)),"MATCH","FILTERED")</f>
        <v/>
      </c>
      <c r="F28">
        <f>IF(E28="MATCH",100,0)</f>
        <v/>
      </c>
      <c r="G28">
        <f>IF(E28="MATCH",IF(D28=1,100,IF(D28=2,85,70)),0)</f>
        <v/>
      </c>
      <c r="H28">
        <f>IF(E28="MATCH",80+MOD(ROW(),21),0)</f>
        <v/>
      </c>
      <c r="I28">
        <f>IF(E28="MATCH",MAX(0,100-'2_Inventory_Data'!J25*0.3),0)</f>
        <v/>
      </c>
      <c r="J28">
        <f>IF(E28="FILTERED",0,ROUND((IF('1_Inputs'!$E$5="All Ages",50,IF('1_Inputs'!$E$5="25-44",('2_Inventory_Data'!S25+'2_Inventory_Data'!T25)*100,IF('1_Inputs'!$E$5="18-24",'2_Inventory_Data'!R25*100,IF('1_Inputs'!$E$5="25-34",'2_Inventory_Data'!S25*100,IF('1_Inputs'!$E$5="35-44",'2_Inventory_Data'!T25*100,IF('1_Inputs'!$E$5="45-54",'2_Inventory_Data'!U25*100,IF('1_Inputs'!$E$5="55+",'2_Inventory_Data'!V25*100,50)))))))+IF('1_Inputs'!$E$8="All",50,IF('1_Inputs'!$E$8="Travel",'2_Inventory_Data'!AC25*100,IF('1_Inputs'!$E$8="Fashion",'2_Inventory_Data'!AD25*100,IF('1_Inputs'!$E$8="Technology",'2_Inventory_Data'!AE25*100,IF('1_Inputs'!$E$8="Food &amp; Beverage",'2_Inventory_Data'!AF25*100,50)))))+IF('1_Inputs'!$E$9="All",50,IF('1_Inputs'!$E$9="Commuters",'2_Inventory_Data'!AG25*100,IF('1_Inputs'!$E$9="Shoppers",'2_Inventory_Data'!AH25*100,IF('1_Inputs'!$E$9="Business Travelers",'2_Inventory_Data'!AI25*100,IF('1_Inputs'!$E$9="Tourists",'2_Inventory_Data'!AJ25*100,50))))))/3,1))</f>
        <v/>
      </c>
      <c r="K28">
        <f>IF(E28="FILTERED",0,IF(OR('2_Inventory_Data'!I25="Transit: Airport",'2_Inventory_Data'!I25="Transit: Rail/Metro Station"),90,IF('2_Inventory_Data'!I25="Retail: Shopping Center",75,65)))</f>
        <v/>
      </c>
      <c r="L28">
        <f>IF(E28="FILTERED",0,MIN(100,'2_Inventory_Data'!L25/5000))</f>
        <v/>
      </c>
      <c r="M28">
        <f>IF(E28="FILTERED",0,MIN(100,'2_Inventory_Data'!N25*4.5))</f>
        <v/>
      </c>
      <c r="N28">
        <f>IF(E28="FILTERED",0,ROUND(G28*0.15+H28*0.10+I28*0.18+J28*0.22+K28*0.10+L28*0.10+M28*0.10+F28*0.05,1))</f>
        <v/>
      </c>
      <c r="O28">
        <f>IF(N28=0,"",RANK(N28,$N$5:$N$44,0))</f>
        <v/>
      </c>
      <c r="P28">
        <f>IF(OR(E28="FILTERED",'2_Inventory_Data'!F25&lt;&gt;"Digital"),"",COUNTIFS($E$5:$E$44,"MATCH",'2_Inventory_Data'!$F$2:$F$41,"Digital",$N$5:$N$44,"&gt;"&amp;N28)+1)</f>
        <v/>
      </c>
      <c r="Q28">
        <f>IF(OR(E28="FILTERED",'2_Inventory_Data'!F25&lt;&gt;"Classic"),"",COUNTIFS($E$5:$E$44,"MATCH",'2_Inventory_Data'!$F$2:$F$41,"Classic",$N$5:$N$44,"&gt;"&amp;N28)+1)</f>
        <v/>
      </c>
      <c r="R28">
        <f>IF(OR(E28="FILTERED",'2_Inventory_Data'!F25&lt;&gt;"Audio"),"",COUNTIFS($E$5:$E$44,"MATCH",'2_Inventory_Data'!$F$2:$F$41,"Audio",$N$5:$N$44,"&gt;"&amp;N28)+1)</f>
        <v/>
      </c>
    </row>
    <row r="29">
      <c r="A29">
        <f>'2_Inventory_Data'!A26</f>
        <v/>
      </c>
      <c r="B29">
        <f>'2_Inventory_Data'!B26</f>
        <v/>
      </c>
      <c r="C29">
        <f>'2_Inventory_Data'!D26</f>
        <v/>
      </c>
      <c r="D29">
        <f>'2_Inventory_Data'!E26</f>
        <v/>
      </c>
      <c r="E29">
        <f>IF(AND('2_Inventory_Data'!C26='1_Inputs'!$B$5,OR('1_Inputs'!$B$6="All Cities",'2_Inventory_Data'!D26='1_Inputs'!$B$6),OR('1_Inputs'!$B$14="All Venues",'2_Inventory_Data'!I26='1_Inputs'!$B$14),OR('1_Inputs'!$B$15="All",'2_Inventory_Data'!F26='1_Inputs'!$B$15),OR('1_Inputs'!$B$16="All",'2_Inventory_Data'!G26='1_Inputs'!$B$16)),"MATCH","FILTERED")</f>
        <v/>
      </c>
      <c r="F29">
        <f>IF(E29="MATCH",100,0)</f>
        <v/>
      </c>
      <c r="G29">
        <f>IF(E29="MATCH",IF(D29=1,100,IF(D29=2,85,70)),0)</f>
        <v/>
      </c>
      <c r="H29">
        <f>IF(E29="MATCH",80+MOD(ROW(),21),0)</f>
        <v/>
      </c>
      <c r="I29">
        <f>IF(E29="MATCH",MAX(0,100-'2_Inventory_Data'!J26*0.3),0)</f>
        <v/>
      </c>
      <c r="J29">
        <f>IF(E29="FILTERED",0,ROUND((IF('1_Inputs'!$E$5="All Ages",50,IF('1_Inputs'!$E$5="25-44",('2_Inventory_Data'!S26+'2_Inventory_Data'!T26)*100,IF('1_Inputs'!$E$5="18-24",'2_Inventory_Data'!R26*100,IF('1_Inputs'!$E$5="25-34",'2_Inventory_Data'!S26*100,IF('1_Inputs'!$E$5="35-44",'2_Inventory_Data'!T26*100,IF('1_Inputs'!$E$5="45-54",'2_Inventory_Data'!U26*100,IF('1_Inputs'!$E$5="55+",'2_Inventory_Data'!V26*100,50)))))))+IF('1_Inputs'!$E$8="All",50,IF('1_Inputs'!$E$8="Travel",'2_Inventory_Data'!AC26*100,IF('1_Inputs'!$E$8="Fashion",'2_Inventory_Data'!AD26*100,IF('1_Inputs'!$E$8="Technology",'2_Inventory_Data'!AE26*100,IF('1_Inputs'!$E$8="Food &amp; Beverage",'2_Inventory_Data'!AF26*100,50)))))+IF('1_Inputs'!$E$9="All",50,IF('1_Inputs'!$E$9="Commuters",'2_Inventory_Data'!AG26*100,IF('1_Inputs'!$E$9="Shoppers",'2_Inventory_Data'!AH26*100,IF('1_Inputs'!$E$9="Business Travelers",'2_Inventory_Data'!AI26*100,IF('1_Inputs'!$E$9="Tourists",'2_Inventory_Data'!AJ26*100,50))))))/3,1))</f>
        <v/>
      </c>
      <c r="K29">
        <f>IF(E29="FILTERED",0,IF(OR('2_Inventory_Data'!I26="Transit: Airport",'2_Inventory_Data'!I26="Transit: Rail/Metro Station"),90,IF('2_Inventory_Data'!I26="Retail: Shopping Center",75,65)))</f>
        <v/>
      </c>
      <c r="L29">
        <f>IF(E29="FILTERED",0,MIN(100,'2_Inventory_Data'!L26/5000))</f>
        <v/>
      </c>
      <c r="M29">
        <f>IF(E29="FILTERED",0,MIN(100,'2_Inventory_Data'!N26*4.5))</f>
        <v/>
      </c>
      <c r="N29">
        <f>IF(E29="FILTERED",0,ROUND(G29*0.15+H29*0.10+I29*0.18+J29*0.22+K29*0.10+L29*0.10+M29*0.10+F29*0.05,1))</f>
        <v/>
      </c>
      <c r="O29">
        <f>IF(N29=0,"",RANK(N29,$N$5:$N$44,0))</f>
        <v/>
      </c>
      <c r="P29">
        <f>IF(OR(E29="FILTERED",'2_Inventory_Data'!F26&lt;&gt;"Digital"),"",COUNTIFS($E$5:$E$44,"MATCH",'2_Inventory_Data'!$F$2:$F$41,"Digital",$N$5:$N$44,"&gt;"&amp;N29)+1)</f>
        <v/>
      </c>
      <c r="Q29">
        <f>IF(OR(E29="FILTERED",'2_Inventory_Data'!F26&lt;&gt;"Classic"),"",COUNTIFS($E$5:$E$44,"MATCH",'2_Inventory_Data'!$F$2:$F$41,"Classic",$N$5:$N$44,"&gt;"&amp;N29)+1)</f>
        <v/>
      </c>
      <c r="R29">
        <f>IF(OR(E29="FILTERED",'2_Inventory_Data'!F26&lt;&gt;"Audio"),"",COUNTIFS($E$5:$E$44,"MATCH",'2_Inventory_Data'!$F$2:$F$41,"Audio",$N$5:$N$44,"&gt;"&amp;N29)+1)</f>
        <v/>
      </c>
    </row>
    <row r="30">
      <c r="A30">
        <f>'2_Inventory_Data'!A27</f>
        <v/>
      </c>
      <c r="B30">
        <f>'2_Inventory_Data'!B27</f>
        <v/>
      </c>
      <c r="C30">
        <f>'2_Inventory_Data'!D27</f>
        <v/>
      </c>
      <c r="D30">
        <f>'2_Inventory_Data'!E27</f>
        <v/>
      </c>
      <c r="E30">
        <f>IF(AND('2_Inventory_Data'!C27='1_Inputs'!$B$5,OR('1_Inputs'!$B$6="All Cities",'2_Inventory_Data'!D27='1_Inputs'!$B$6),OR('1_Inputs'!$B$14="All Venues",'2_Inventory_Data'!I27='1_Inputs'!$B$14),OR('1_Inputs'!$B$15="All",'2_Inventory_Data'!F27='1_Inputs'!$B$15),OR('1_Inputs'!$B$16="All",'2_Inventory_Data'!G27='1_Inputs'!$B$16)),"MATCH","FILTERED")</f>
        <v/>
      </c>
      <c r="F30">
        <f>IF(E30="MATCH",100,0)</f>
        <v/>
      </c>
      <c r="G30">
        <f>IF(E30="MATCH",IF(D30=1,100,IF(D30=2,85,70)),0)</f>
        <v/>
      </c>
      <c r="H30">
        <f>IF(E30="MATCH",80+MOD(ROW(),21),0)</f>
        <v/>
      </c>
      <c r="I30">
        <f>IF(E30="MATCH",MAX(0,100-'2_Inventory_Data'!J27*0.3),0)</f>
        <v/>
      </c>
      <c r="J30">
        <f>IF(E30="FILTERED",0,ROUND((IF('1_Inputs'!$E$5="All Ages",50,IF('1_Inputs'!$E$5="25-44",('2_Inventory_Data'!S27+'2_Inventory_Data'!T27)*100,IF('1_Inputs'!$E$5="18-24",'2_Inventory_Data'!R27*100,IF('1_Inputs'!$E$5="25-34",'2_Inventory_Data'!S27*100,IF('1_Inputs'!$E$5="35-44",'2_Inventory_Data'!T27*100,IF('1_Inputs'!$E$5="45-54",'2_Inventory_Data'!U27*100,IF('1_Inputs'!$E$5="55+",'2_Inventory_Data'!V27*100,50)))))))+IF('1_Inputs'!$E$8="All",50,IF('1_Inputs'!$E$8="Travel",'2_Inventory_Data'!AC27*100,IF('1_Inputs'!$E$8="Fashion",'2_Inventory_Data'!AD27*100,IF('1_Inputs'!$E$8="Technology",'2_Inventory_Data'!AE27*100,IF('1_Inputs'!$E$8="Food &amp; Beverage",'2_Inventory_Data'!AF27*100,50)))))+IF('1_Inputs'!$E$9="All",50,IF('1_Inputs'!$E$9="Commuters",'2_Inventory_Data'!AG27*100,IF('1_Inputs'!$E$9="Shoppers",'2_Inventory_Data'!AH27*100,IF('1_Inputs'!$E$9="Business Travelers",'2_Inventory_Data'!AI27*100,IF('1_Inputs'!$E$9="Tourists",'2_Inventory_Data'!AJ27*100,50))))))/3,1))</f>
        <v/>
      </c>
      <c r="K30">
        <f>IF(E30="FILTERED",0,IF(OR('2_Inventory_Data'!I27="Transit: Airport",'2_Inventory_Data'!I27="Transit: Rail/Metro Station"),90,IF('2_Inventory_Data'!I27="Retail: Shopping Center",75,65)))</f>
        <v/>
      </c>
      <c r="L30">
        <f>IF(E30="FILTERED",0,MIN(100,'2_Inventory_Data'!L27/5000))</f>
        <v/>
      </c>
      <c r="M30">
        <f>IF(E30="FILTERED",0,MIN(100,'2_Inventory_Data'!N27*4.5))</f>
        <v/>
      </c>
      <c r="N30">
        <f>IF(E30="FILTERED",0,ROUND(G30*0.15+H30*0.10+I30*0.18+J30*0.22+K30*0.10+L30*0.10+M30*0.10+F30*0.05,1))</f>
        <v/>
      </c>
      <c r="O30">
        <f>IF(N30=0,"",RANK(N30,$N$5:$N$44,0))</f>
        <v/>
      </c>
      <c r="P30">
        <f>IF(OR(E30="FILTERED",'2_Inventory_Data'!F27&lt;&gt;"Digital"),"",COUNTIFS($E$5:$E$44,"MATCH",'2_Inventory_Data'!$F$2:$F$41,"Digital",$N$5:$N$44,"&gt;"&amp;N30)+1)</f>
        <v/>
      </c>
      <c r="Q30">
        <f>IF(OR(E30="FILTERED",'2_Inventory_Data'!F27&lt;&gt;"Classic"),"",COUNTIFS($E$5:$E$44,"MATCH",'2_Inventory_Data'!$F$2:$F$41,"Classic",$N$5:$N$44,"&gt;"&amp;N30)+1)</f>
        <v/>
      </c>
      <c r="R30">
        <f>IF(OR(E30="FILTERED",'2_Inventory_Data'!F27&lt;&gt;"Audio"),"",COUNTIFS($E$5:$E$44,"MATCH",'2_Inventory_Data'!$F$2:$F$41,"Audio",$N$5:$N$44,"&gt;"&amp;N30)+1)</f>
        <v/>
      </c>
    </row>
    <row r="31">
      <c r="A31">
        <f>'2_Inventory_Data'!A28</f>
        <v/>
      </c>
      <c r="B31">
        <f>'2_Inventory_Data'!B28</f>
        <v/>
      </c>
      <c r="C31">
        <f>'2_Inventory_Data'!D28</f>
        <v/>
      </c>
      <c r="D31">
        <f>'2_Inventory_Data'!E28</f>
        <v/>
      </c>
      <c r="E31">
        <f>IF(AND('2_Inventory_Data'!C28='1_Inputs'!$B$5,OR('1_Inputs'!$B$6="All Cities",'2_Inventory_Data'!D28='1_Inputs'!$B$6),OR('1_Inputs'!$B$14="All Venues",'2_Inventory_Data'!I28='1_Inputs'!$B$14),OR('1_Inputs'!$B$15="All",'2_Inventory_Data'!F28='1_Inputs'!$B$15),OR('1_Inputs'!$B$16="All",'2_Inventory_Data'!G28='1_Inputs'!$B$16)),"MATCH","FILTERED")</f>
        <v/>
      </c>
      <c r="F31">
        <f>IF(E31="MATCH",100,0)</f>
        <v/>
      </c>
      <c r="G31">
        <f>IF(E31="MATCH",IF(D31=1,100,IF(D31=2,85,70)),0)</f>
        <v/>
      </c>
      <c r="H31">
        <f>IF(E31="MATCH",80+MOD(ROW(),21),0)</f>
        <v/>
      </c>
      <c r="I31">
        <f>IF(E31="MATCH",MAX(0,100-'2_Inventory_Data'!J28*0.3),0)</f>
        <v/>
      </c>
      <c r="J31">
        <f>IF(E31="FILTERED",0,ROUND((IF('1_Inputs'!$E$5="All Ages",50,IF('1_Inputs'!$E$5="25-44",('2_Inventory_Data'!S28+'2_Inventory_Data'!T28)*100,IF('1_Inputs'!$E$5="18-24",'2_Inventory_Data'!R28*100,IF('1_Inputs'!$E$5="25-34",'2_Inventory_Data'!S28*100,IF('1_Inputs'!$E$5="35-44",'2_Inventory_Data'!T28*100,IF('1_Inputs'!$E$5="45-54",'2_Inventory_Data'!U28*100,IF('1_Inputs'!$E$5="55+",'2_Inventory_Data'!V28*100,50)))))))+IF('1_Inputs'!$E$8="All",50,IF('1_Inputs'!$E$8="Travel",'2_Inventory_Data'!AC28*100,IF('1_Inputs'!$E$8="Fashion",'2_Inventory_Data'!AD28*100,IF('1_Inputs'!$E$8="Technology",'2_Inventory_Data'!AE28*100,IF('1_Inputs'!$E$8="Food &amp; Beverage",'2_Inventory_Data'!AF28*100,50)))))+IF('1_Inputs'!$E$9="All",50,IF('1_Inputs'!$E$9="Commuters",'2_Inventory_Data'!AG28*100,IF('1_Inputs'!$E$9="Shoppers",'2_Inventory_Data'!AH28*100,IF('1_Inputs'!$E$9="Business Travelers",'2_Inventory_Data'!AI28*100,IF('1_Inputs'!$E$9="Tourists",'2_Inventory_Data'!AJ28*100,50))))))/3,1))</f>
        <v/>
      </c>
      <c r="K31">
        <f>IF(E31="FILTERED",0,IF(OR('2_Inventory_Data'!I28="Transit: Airport",'2_Inventory_Data'!I28="Transit: Rail/Metro Station"),90,IF('2_Inventory_Data'!I28="Retail: Shopping Center",75,65)))</f>
        <v/>
      </c>
      <c r="L31">
        <f>IF(E31="FILTERED",0,MIN(100,'2_Inventory_Data'!L28/5000))</f>
        <v/>
      </c>
      <c r="M31">
        <f>IF(E31="FILTERED",0,MIN(100,'2_Inventory_Data'!N28*4.5))</f>
        <v/>
      </c>
      <c r="N31">
        <f>IF(E31="FILTERED",0,ROUND(G31*0.15+H31*0.10+I31*0.18+J31*0.22+K31*0.10+L31*0.10+M31*0.10+F31*0.05,1))</f>
        <v/>
      </c>
      <c r="O31">
        <f>IF(N31=0,"",RANK(N31,$N$5:$N$44,0))</f>
        <v/>
      </c>
      <c r="P31">
        <f>IF(OR(E31="FILTERED",'2_Inventory_Data'!F28&lt;&gt;"Digital"),"",COUNTIFS($E$5:$E$44,"MATCH",'2_Inventory_Data'!$F$2:$F$41,"Digital",$N$5:$N$44,"&gt;"&amp;N31)+1)</f>
        <v/>
      </c>
      <c r="Q31">
        <f>IF(OR(E31="FILTERED",'2_Inventory_Data'!F28&lt;&gt;"Classic"),"",COUNTIFS($E$5:$E$44,"MATCH",'2_Inventory_Data'!$F$2:$F$41,"Classic",$N$5:$N$44,"&gt;"&amp;N31)+1)</f>
        <v/>
      </c>
      <c r="R31">
        <f>IF(OR(E31="FILTERED",'2_Inventory_Data'!F28&lt;&gt;"Audio"),"",COUNTIFS($E$5:$E$44,"MATCH",'2_Inventory_Data'!$F$2:$F$41,"Audio",$N$5:$N$44,"&gt;"&amp;N31)+1)</f>
        <v/>
      </c>
    </row>
    <row r="32">
      <c r="A32">
        <f>'2_Inventory_Data'!A29</f>
        <v/>
      </c>
      <c r="B32">
        <f>'2_Inventory_Data'!B29</f>
        <v/>
      </c>
      <c r="C32">
        <f>'2_Inventory_Data'!D29</f>
        <v/>
      </c>
      <c r="D32">
        <f>'2_Inventory_Data'!E29</f>
        <v/>
      </c>
      <c r="E32">
        <f>IF(AND('2_Inventory_Data'!C29='1_Inputs'!$B$5,OR('1_Inputs'!$B$6="All Cities",'2_Inventory_Data'!D29='1_Inputs'!$B$6),OR('1_Inputs'!$B$14="All Venues",'2_Inventory_Data'!I29='1_Inputs'!$B$14),OR('1_Inputs'!$B$15="All",'2_Inventory_Data'!F29='1_Inputs'!$B$15),OR('1_Inputs'!$B$16="All",'2_Inventory_Data'!G29='1_Inputs'!$B$16)),"MATCH","FILTERED")</f>
        <v/>
      </c>
      <c r="F32">
        <f>IF(E32="MATCH",100,0)</f>
        <v/>
      </c>
      <c r="G32">
        <f>IF(E32="MATCH",IF(D32=1,100,IF(D32=2,85,70)),0)</f>
        <v/>
      </c>
      <c r="H32">
        <f>IF(E32="MATCH",80+MOD(ROW(),21),0)</f>
        <v/>
      </c>
      <c r="I32">
        <f>IF(E32="MATCH",MAX(0,100-'2_Inventory_Data'!J29*0.3),0)</f>
        <v/>
      </c>
      <c r="J32">
        <f>IF(E32="FILTERED",0,ROUND((IF('1_Inputs'!$E$5="All Ages",50,IF('1_Inputs'!$E$5="25-44",('2_Inventory_Data'!S29+'2_Inventory_Data'!T29)*100,IF('1_Inputs'!$E$5="18-24",'2_Inventory_Data'!R29*100,IF('1_Inputs'!$E$5="25-34",'2_Inventory_Data'!S29*100,IF('1_Inputs'!$E$5="35-44",'2_Inventory_Data'!T29*100,IF('1_Inputs'!$E$5="45-54",'2_Inventory_Data'!U29*100,IF('1_Inputs'!$E$5="55+",'2_Inventory_Data'!V29*100,50)))))))+IF('1_Inputs'!$E$8="All",50,IF('1_Inputs'!$E$8="Travel",'2_Inventory_Data'!AC29*100,IF('1_Inputs'!$E$8="Fashion",'2_Inventory_Data'!AD29*100,IF('1_Inputs'!$E$8="Technology",'2_Inventory_Data'!AE29*100,IF('1_Inputs'!$E$8="Food &amp; Beverage",'2_Inventory_Data'!AF29*100,50)))))+IF('1_Inputs'!$E$9="All",50,IF('1_Inputs'!$E$9="Commuters",'2_Inventory_Data'!AG29*100,IF('1_Inputs'!$E$9="Shoppers",'2_Inventory_Data'!AH29*100,IF('1_Inputs'!$E$9="Business Travelers",'2_Inventory_Data'!AI29*100,IF('1_Inputs'!$E$9="Tourists",'2_Inventory_Data'!AJ29*100,50))))))/3,1))</f>
        <v/>
      </c>
      <c r="K32">
        <f>IF(E32="FILTERED",0,IF(OR('2_Inventory_Data'!I29="Transit: Airport",'2_Inventory_Data'!I29="Transit: Rail/Metro Station"),90,IF('2_Inventory_Data'!I29="Retail: Shopping Center",75,65)))</f>
        <v/>
      </c>
      <c r="L32">
        <f>IF(E32="FILTERED",0,MIN(100,'2_Inventory_Data'!L29/5000))</f>
        <v/>
      </c>
      <c r="M32">
        <f>IF(E32="FILTERED",0,MIN(100,'2_Inventory_Data'!N29*4.5))</f>
        <v/>
      </c>
      <c r="N32">
        <f>IF(E32="FILTERED",0,ROUND(G32*0.15+H32*0.10+I32*0.18+J32*0.22+K32*0.10+L32*0.10+M32*0.10+F32*0.05,1))</f>
        <v/>
      </c>
      <c r="O32">
        <f>IF(N32=0,"",RANK(N32,$N$5:$N$44,0))</f>
        <v/>
      </c>
      <c r="P32">
        <f>IF(OR(E32="FILTERED",'2_Inventory_Data'!F29&lt;&gt;"Digital"),"",COUNTIFS($E$5:$E$44,"MATCH",'2_Inventory_Data'!$F$2:$F$41,"Digital",$N$5:$N$44,"&gt;"&amp;N32)+1)</f>
        <v/>
      </c>
      <c r="Q32">
        <f>IF(OR(E32="FILTERED",'2_Inventory_Data'!F29&lt;&gt;"Classic"),"",COUNTIFS($E$5:$E$44,"MATCH",'2_Inventory_Data'!$F$2:$F$41,"Classic",$N$5:$N$44,"&gt;"&amp;N32)+1)</f>
        <v/>
      </c>
      <c r="R32">
        <f>IF(OR(E32="FILTERED",'2_Inventory_Data'!F29&lt;&gt;"Audio"),"",COUNTIFS($E$5:$E$44,"MATCH",'2_Inventory_Data'!$F$2:$F$41,"Audio",$N$5:$N$44,"&gt;"&amp;N32)+1)</f>
        <v/>
      </c>
    </row>
    <row r="33">
      <c r="A33">
        <f>'2_Inventory_Data'!A30</f>
        <v/>
      </c>
      <c r="B33">
        <f>'2_Inventory_Data'!B30</f>
        <v/>
      </c>
      <c r="C33">
        <f>'2_Inventory_Data'!D30</f>
        <v/>
      </c>
      <c r="D33">
        <f>'2_Inventory_Data'!E30</f>
        <v/>
      </c>
      <c r="E33">
        <f>IF(AND('2_Inventory_Data'!C30='1_Inputs'!$B$5,OR('1_Inputs'!$B$6="All Cities",'2_Inventory_Data'!D30='1_Inputs'!$B$6),OR('1_Inputs'!$B$14="All Venues",'2_Inventory_Data'!I30='1_Inputs'!$B$14),OR('1_Inputs'!$B$15="All",'2_Inventory_Data'!F30='1_Inputs'!$B$15),OR('1_Inputs'!$B$16="All",'2_Inventory_Data'!G30='1_Inputs'!$B$16)),"MATCH","FILTERED")</f>
        <v/>
      </c>
      <c r="F33">
        <f>IF(E33="MATCH",100,0)</f>
        <v/>
      </c>
      <c r="G33">
        <f>IF(E33="MATCH",IF(D33=1,100,IF(D33=2,85,70)),0)</f>
        <v/>
      </c>
      <c r="H33">
        <f>IF(E33="MATCH",80+MOD(ROW(),21),0)</f>
        <v/>
      </c>
      <c r="I33">
        <f>IF(E33="MATCH",MAX(0,100-'2_Inventory_Data'!J30*0.3),0)</f>
        <v/>
      </c>
      <c r="J33">
        <f>IF(E33="FILTERED",0,ROUND((IF('1_Inputs'!$E$5="All Ages",50,IF('1_Inputs'!$E$5="25-44",('2_Inventory_Data'!S30+'2_Inventory_Data'!T30)*100,IF('1_Inputs'!$E$5="18-24",'2_Inventory_Data'!R30*100,IF('1_Inputs'!$E$5="25-34",'2_Inventory_Data'!S30*100,IF('1_Inputs'!$E$5="35-44",'2_Inventory_Data'!T30*100,IF('1_Inputs'!$E$5="45-54",'2_Inventory_Data'!U30*100,IF('1_Inputs'!$E$5="55+",'2_Inventory_Data'!V30*100,50)))))))+IF('1_Inputs'!$E$8="All",50,IF('1_Inputs'!$E$8="Travel",'2_Inventory_Data'!AC30*100,IF('1_Inputs'!$E$8="Fashion",'2_Inventory_Data'!AD30*100,IF('1_Inputs'!$E$8="Technology",'2_Inventory_Data'!AE30*100,IF('1_Inputs'!$E$8="Food &amp; Beverage",'2_Inventory_Data'!AF30*100,50)))))+IF('1_Inputs'!$E$9="All",50,IF('1_Inputs'!$E$9="Commuters",'2_Inventory_Data'!AG30*100,IF('1_Inputs'!$E$9="Shoppers",'2_Inventory_Data'!AH30*100,IF('1_Inputs'!$E$9="Business Travelers",'2_Inventory_Data'!AI30*100,IF('1_Inputs'!$E$9="Tourists",'2_Inventory_Data'!AJ30*100,50))))))/3,1))</f>
        <v/>
      </c>
      <c r="K33">
        <f>IF(E33="FILTERED",0,IF(OR('2_Inventory_Data'!I30="Transit: Airport",'2_Inventory_Data'!I30="Transit: Rail/Metro Station"),90,IF('2_Inventory_Data'!I30="Retail: Shopping Center",75,65)))</f>
        <v/>
      </c>
      <c r="L33">
        <f>IF(E33="FILTERED",0,MIN(100,'2_Inventory_Data'!L30/5000))</f>
        <v/>
      </c>
      <c r="M33">
        <f>IF(E33="FILTERED",0,MIN(100,'2_Inventory_Data'!N30*4.5))</f>
        <v/>
      </c>
      <c r="N33">
        <f>IF(E33="FILTERED",0,ROUND(G33*0.15+H33*0.10+I33*0.18+J33*0.22+K33*0.10+L33*0.10+M33*0.10+F33*0.05,1))</f>
        <v/>
      </c>
      <c r="O33">
        <f>IF(N33=0,"",RANK(N33,$N$5:$N$44,0))</f>
        <v/>
      </c>
      <c r="P33">
        <f>IF(OR(E33="FILTERED",'2_Inventory_Data'!F30&lt;&gt;"Digital"),"",COUNTIFS($E$5:$E$44,"MATCH",'2_Inventory_Data'!$F$2:$F$41,"Digital",$N$5:$N$44,"&gt;"&amp;N33)+1)</f>
        <v/>
      </c>
      <c r="Q33">
        <f>IF(OR(E33="FILTERED",'2_Inventory_Data'!F30&lt;&gt;"Classic"),"",COUNTIFS($E$5:$E$44,"MATCH",'2_Inventory_Data'!$F$2:$F$41,"Classic",$N$5:$N$44,"&gt;"&amp;N33)+1)</f>
        <v/>
      </c>
      <c r="R33">
        <f>IF(OR(E33="FILTERED",'2_Inventory_Data'!F30&lt;&gt;"Audio"),"",COUNTIFS($E$5:$E$44,"MATCH",'2_Inventory_Data'!$F$2:$F$41,"Audio",$N$5:$N$44,"&gt;"&amp;N33)+1)</f>
        <v/>
      </c>
    </row>
    <row r="34">
      <c r="A34">
        <f>'2_Inventory_Data'!A31</f>
        <v/>
      </c>
      <c r="B34">
        <f>'2_Inventory_Data'!B31</f>
        <v/>
      </c>
      <c r="C34">
        <f>'2_Inventory_Data'!D31</f>
        <v/>
      </c>
      <c r="D34">
        <f>'2_Inventory_Data'!E31</f>
        <v/>
      </c>
      <c r="E34">
        <f>IF(AND('2_Inventory_Data'!C31='1_Inputs'!$B$5,OR('1_Inputs'!$B$6="All Cities",'2_Inventory_Data'!D31='1_Inputs'!$B$6),OR('1_Inputs'!$B$14="All Venues",'2_Inventory_Data'!I31='1_Inputs'!$B$14),OR('1_Inputs'!$B$15="All",'2_Inventory_Data'!F31='1_Inputs'!$B$15),OR('1_Inputs'!$B$16="All",'2_Inventory_Data'!G31='1_Inputs'!$B$16)),"MATCH","FILTERED")</f>
        <v/>
      </c>
      <c r="F34">
        <f>IF(E34="MATCH",100,0)</f>
        <v/>
      </c>
      <c r="G34">
        <f>IF(E34="MATCH",IF(D34=1,100,IF(D34=2,85,70)),0)</f>
        <v/>
      </c>
      <c r="H34">
        <f>IF(E34="MATCH",80+MOD(ROW(),21),0)</f>
        <v/>
      </c>
      <c r="I34">
        <f>IF(E34="MATCH",MAX(0,100-'2_Inventory_Data'!J31*0.3),0)</f>
        <v/>
      </c>
      <c r="J34">
        <f>IF(E34="FILTERED",0,ROUND((IF('1_Inputs'!$E$5="All Ages",50,IF('1_Inputs'!$E$5="25-44",('2_Inventory_Data'!S31+'2_Inventory_Data'!T31)*100,IF('1_Inputs'!$E$5="18-24",'2_Inventory_Data'!R31*100,IF('1_Inputs'!$E$5="25-34",'2_Inventory_Data'!S31*100,IF('1_Inputs'!$E$5="35-44",'2_Inventory_Data'!T31*100,IF('1_Inputs'!$E$5="45-54",'2_Inventory_Data'!U31*100,IF('1_Inputs'!$E$5="55+",'2_Inventory_Data'!V31*100,50)))))))+IF('1_Inputs'!$E$8="All",50,IF('1_Inputs'!$E$8="Travel",'2_Inventory_Data'!AC31*100,IF('1_Inputs'!$E$8="Fashion",'2_Inventory_Data'!AD31*100,IF('1_Inputs'!$E$8="Technology",'2_Inventory_Data'!AE31*100,IF('1_Inputs'!$E$8="Food &amp; Beverage",'2_Inventory_Data'!AF31*100,50)))))+IF('1_Inputs'!$E$9="All",50,IF('1_Inputs'!$E$9="Commuters",'2_Inventory_Data'!AG31*100,IF('1_Inputs'!$E$9="Shoppers",'2_Inventory_Data'!AH31*100,IF('1_Inputs'!$E$9="Business Travelers",'2_Inventory_Data'!AI31*100,IF('1_Inputs'!$E$9="Tourists",'2_Inventory_Data'!AJ31*100,50))))))/3,1))</f>
        <v/>
      </c>
      <c r="K34">
        <f>IF(E34="FILTERED",0,IF(OR('2_Inventory_Data'!I31="Transit: Airport",'2_Inventory_Data'!I31="Transit: Rail/Metro Station"),90,IF('2_Inventory_Data'!I31="Retail: Shopping Center",75,65)))</f>
        <v/>
      </c>
      <c r="L34">
        <f>IF(E34="FILTERED",0,MIN(100,'2_Inventory_Data'!L31/5000))</f>
        <v/>
      </c>
      <c r="M34">
        <f>IF(E34="FILTERED",0,MIN(100,'2_Inventory_Data'!N31*4.5))</f>
        <v/>
      </c>
      <c r="N34">
        <f>IF(E34="FILTERED",0,ROUND(G34*0.15+H34*0.10+I34*0.18+J34*0.22+K34*0.10+L34*0.10+M34*0.10+F34*0.05,1))</f>
        <v/>
      </c>
      <c r="O34">
        <f>IF(N34=0,"",RANK(N34,$N$5:$N$44,0))</f>
        <v/>
      </c>
      <c r="P34">
        <f>IF(OR(E34="FILTERED",'2_Inventory_Data'!F31&lt;&gt;"Digital"),"",COUNTIFS($E$5:$E$44,"MATCH",'2_Inventory_Data'!$F$2:$F$41,"Digital",$N$5:$N$44,"&gt;"&amp;N34)+1)</f>
        <v/>
      </c>
      <c r="Q34">
        <f>IF(OR(E34="FILTERED",'2_Inventory_Data'!F31&lt;&gt;"Classic"),"",COUNTIFS($E$5:$E$44,"MATCH",'2_Inventory_Data'!$F$2:$F$41,"Classic",$N$5:$N$44,"&gt;"&amp;N34)+1)</f>
        <v/>
      </c>
      <c r="R34">
        <f>IF(OR(E34="FILTERED",'2_Inventory_Data'!F31&lt;&gt;"Audio"),"",COUNTIFS($E$5:$E$44,"MATCH",'2_Inventory_Data'!$F$2:$F$41,"Audio",$N$5:$N$44,"&gt;"&amp;N34)+1)</f>
        <v/>
      </c>
    </row>
    <row r="35">
      <c r="A35">
        <f>'2_Inventory_Data'!A32</f>
        <v/>
      </c>
      <c r="B35">
        <f>'2_Inventory_Data'!B32</f>
        <v/>
      </c>
      <c r="C35">
        <f>'2_Inventory_Data'!D32</f>
        <v/>
      </c>
      <c r="D35">
        <f>'2_Inventory_Data'!E32</f>
        <v/>
      </c>
      <c r="E35">
        <f>IF(AND('2_Inventory_Data'!C32='1_Inputs'!$B$5,OR('1_Inputs'!$B$6="All Cities",'2_Inventory_Data'!D32='1_Inputs'!$B$6),OR('1_Inputs'!$B$14="All Venues",'2_Inventory_Data'!I32='1_Inputs'!$B$14),OR('1_Inputs'!$B$15="All",'2_Inventory_Data'!F32='1_Inputs'!$B$15),OR('1_Inputs'!$B$16="All",'2_Inventory_Data'!G32='1_Inputs'!$B$16)),"MATCH","FILTERED")</f>
        <v/>
      </c>
      <c r="F35">
        <f>IF(E35="MATCH",100,0)</f>
        <v/>
      </c>
      <c r="G35">
        <f>IF(E35="MATCH",IF(D35=1,100,IF(D35=2,85,70)),0)</f>
        <v/>
      </c>
      <c r="H35">
        <f>IF(E35="MATCH",80+MOD(ROW(),21),0)</f>
        <v/>
      </c>
      <c r="I35">
        <f>IF(E35="MATCH",MAX(0,100-'2_Inventory_Data'!J32*0.3),0)</f>
        <v/>
      </c>
      <c r="J35">
        <f>IF(E35="FILTERED",0,ROUND((IF('1_Inputs'!$E$5="All Ages",50,IF('1_Inputs'!$E$5="25-44",('2_Inventory_Data'!S32+'2_Inventory_Data'!T32)*100,IF('1_Inputs'!$E$5="18-24",'2_Inventory_Data'!R32*100,IF('1_Inputs'!$E$5="25-34",'2_Inventory_Data'!S32*100,IF('1_Inputs'!$E$5="35-44",'2_Inventory_Data'!T32*100,IF('1_Inputs'!$E$5="45-54",'2_Inventory_Data'!U32*100,IF('1_Inputs'!$E$5="55+",'2_Inventory_Data'!V32*100,50)))))))+IF('1_Inputs'!$E$8="All",50,IF('1_Inputs'!$E$8="Travel",'2_Inventory_Data'!AC32*100,IF('1_Inputs'!$E$8="Fashion",'2_Inventory_Data'!AD32*100,IF('1_Inputs'!$E$8="Technology",'2_Inventory_Data'!AE32*100,IF('1_Inputs'!$E$8="Food &amp; Beverage",'2_Inventory_Data'!AF32*100,50)))))+IF('1_Inputs'!$E$9="All",50,IF('1_Inputs'!$E$9="Commuters",'2_Inventory_Data'!AG32*100,IF('1_Inputs'!$E$9="Shoppers",'2_Inventory_Data'!AH32*100,IF('1_Inputs'!$E$9="Business Travelers",'2_Inventory_Data'!AI32*100,IF('1_Inputs'!$E$9="Tourists",'2_Inventory_Data'!AJ32*100,50))))))/3,1))</f>
        <v/>
      </c>
      <c r="K35">
        <f>IF(E35="FILTERED",0,IF(OR('2_Inventory_Data'!I32="Transit: Airport",'2_Inventory_Data'!I32="Transit: Rail/Metro Station"),90,IF('2_Inventory_Data'!I32="Retail: Shopping Center",75,65)))</f>
        <v/>
      </c>
      <c r="L35">
        <f>IF(E35="FILTERED",0,MIN(100,'2_Inventory_Data'!L32/5000))</f>
        <v/>
      </c>
      <c r="M35">
        <f>IF(E35="FILTERED",0,MIN(100,'2_Inventory_Data'!N32*4.5))</f>
        <v/>
      </c>
      <c r="N35">
        <f>IF(E35="FILTERED",0,ROUND(G35*0.15+H35*0.10+I35*0.18+J35*0.22+K35*0.10+L35*0.10+M35*0.10+F35*0.05,1))</f>
        <v/>
      </c>
      <c r="O35">
        <f>IF(N35=0,"",RANK(N35,$N$5:$N$44,0))</f>
        <v/>
      </c>
      <c r="P35">
        <f>IF(OR(E35="FILTERED",'2_Inventory_Data'!F32&lt;&gt;"Digital"),"",COUNTIFS($E$5:$E$44,"MATCH",'2_Inventory_Data'!$F$2:$F$41,"Digital",$N$5:$N$44,"&gt;"&amp;N35)+1)</f>
        <v/>
      </c>
      <c r="Q35">
        <f>IF(OR(E35="FILTERED",'2_Inventory_Data'!F32&lt;&gt;"Classic"),"",COUNTIFS($E$5:$E$44,"MATCH",'2_Inventory_Data'!$F$2:$F$41,"Classic",$N$5:$N$44,"&gt;"&amp;N35)+1)</f>
        <v/>
      </c>
      <c r="R35">
        <f>IF(OR(E35="FILTERED",'2_Inventory_Data'!F32&lt;&gt;"Audio"),"",COUNTIFS($E$5:$E$44,"MATCH",'2_Inventory_Data'!$F$2:$F$41,"Audio",$N$5:$N$44,"&gt;"&amp;N35)+1)</f>
        <v/>
      </c>
    </row>
    <row r="36">
      <c r="A36">
        <f>'2_Inventory_Data'!A33</f>
        <v/>
      </c>
      <c r="B36">
        <f>'2_Inventory_Data'!B33</f>
        <v/>
      </c>
      <c r="C36">
        <f>'2_Inventory_Data'!D33</f>
        <v/>
      </c>
      <c r="D36">
        <f>'2_Inventory_Data'!E33</f>
        <v/>
      </c>
      <c r="E36">
        <f>IF(AND('2_Inventory_Data'!C33='1_Inputs'!$B$5,OR('1_Inputs'!$B$6="All Cities",'2_Inventory_Data'!D33='1_Inputs'!$B$6),OR('1_Inputs'!$B$14="All Venues",'2_Inventory_Data'!I33='1_Inputs'!$B$14),OR('1_Inputs'!$B$15="All",'2_Inventory_Data'!F33='1_Inputs'!$B$15),OR('1_Inputs'!$B$16="All",'2_Inventory_Data'!G33='1_Inputs'!$B$16)),"MATCH","FILTERED")</f>
        <v/>
      </c>
      <c r="F36">
        <f>IF(E36="MATCH",100,0)</f>
        <v/>
      </c>
      <c r="G36">
        <f>IF(E36="MATCH",IF(D36=1,100,IF(D36=2,85,70)),0)</f>
        <v/>
      </c>
      <c r="H36">
        <f>IF(E36="MATCH",80+MOD(ROW(),21),0)</f>
        <v/>
      </c>
      <c r="I36">
        <f>IF(E36="MATCH",MAX(0,100-'2_Inventory_Data'!J33*0.3),0)</f>
        <v/>
      </c>
      <c r="J36">
        <f>IF(E36="FILTERED",0,ROUND((IF('1_Inputs'!$E$5="All Ages",50,IF('1_Inputs'!$E$5="25-44",('2_Inventory_Data'!S33+'2_Inventory_Data'!T33)*100,IF('1_Inputs'!$E$5="18-24",'2_Inventory_Data'!R33*100,IF('1_Inputs'!$E$5="25-34",'2_Inventory_Data'!S33*100,IF('1_Inputs'!$E$5="35-44",'2_Inventory_Data'!T33*100,IF('1_Inputs'!$E$5="45-54",'2_Inventory_Data'!U33*100,IF('1_Inputs'!$E$5="55+",'2_Inventory_Data'!V33*100,50)))))))+IF('1_Inputs'!$E$8="All",50,IF('1_Inputs'!$E$8="Travel",'2_Inventory_Data'!AC33*100,IF('1_Inputs'!$E$8="Fashion",'2_Inventory_Data'!AD33*100,IF('1_Inputs'!$E$8="Technology",'2_Inventory_Data'!AE33*100,IF('1_Inputs'!$E$8="Food &amp; Beverage",'2_Inventory_Data'!AF33*100,50)))))+IF('1_Inputs'!$E$9="All",50,IF('1_Inputs'!$E$9="Commuters",'2_Inventory_Data'!AG33*100,IF('1_Inputs'!$E$9="Shoppers",'2_Inventory_Data'!AH33*100,IF('1_Inputs'!$E$9="Business Travelers",'2_Inventory_Data'!AI33*100,IF('1_Inputs'!$E$9="Tourists",'2_Inventory_Data'!AJ33*100,50))))))/3,1))</f>
        <v/>
      </c>
      <c r="K36">
        <f>IF(E36="FILTERED",0,IF(OR('2_Inventory_Data'!I33="Transit: Airport",'2_Inventory_Data'!I33="Transit: Rail/Metro Station"),90,IF('2_Inventory_Data'!I33="Retail: Shopping Center",75,65)))</f>
        <v/>
      </c>
      <c r="L36">
        <f>IF(E36="FILTERED",0,MIN(100,'2_Inventory_Data'!L33/5000))</f>
        <v/>
      </c>
      <c r="M36">
        <f>IF(E36="FILTERED",0,MIN(100,'2_Inventory_Data'!N33*4.5))</f>
        <v/>
      </c>
      <c r="N36">
        <f>IF(E36="FILTERED",0,ROUND(G36*0.15+H36*0.10+I36*0.18+J36*0.22+K36*0.10+L36*0.10+M36*0.10+F36*0.05,1))</f>
        <v/>
      </c>
      <c r="O36">
        <f>IF(N36=0,"",RANK(N36,$N$5:$N$44,0))</f>
        <v/>
      </c>
      <c r="P36">
        <f>IF(OR(E36="FILTERED",'2_Inventory_Data'!F33&lt;&gt;"Digital"),"",COUNTIFS($E$5:$E$44,"MATCH",'2_Inventory_Data'!$F$2:$F$41,"Digital",$N$5:$N$44,"&gt;"&amp;N36)+1)</f>
        <v/>
      </c>
      <c r="Q36">
        <f>IF(OR(E36="FILTERED",'2_Inventory_Data'!F33&lt;&gt;"Classic"),"",COUNTIFS($E$5:$E$44,"MATCH",'2_Inventory_Data'!$F$2:$F$41,"Classic",$N$5:$N$44,"&gt;"&amp;N36)+1)</f>
        <v/>
      </c>
      <c r="R36">
        <f>IF(OR(E36="FILTERED",'2_Inventory_Data'!F33&lt;&gt;"Audio"),"",COUNTIFS($E$5:$E$44,"MATCH",'2_Inventory_Data'!$F$2:$F$41,"Audio",$N$5:$N$44,"&gt;"&amp;N36)+1)</f>
        <v/>
      </c>
    </row>
    <row r="37">
      <c r="A37">
        <f>'2_Inventory_Data'!A34</f>
        <v/>
      </c>
      <c r="B37">
        <f>'2_Inventory_Data'!B34</f>
        <v/>
      </c>
      <c r="C37">
        <f>'2_Inventory_Data'!D34</f>
        <v/>
      </c>
      <c r="D37">
        <f>'2_Inventory_Data'!E34</f>
        <v/>
      </c>
      <c r="E37">
        <f>IF(AND('2_Inventory_Data'!C34='1_Inputs'!$B$5,OR('1_Inputs'!$B$6="All Cities",'2_Inventory_Data'!D34='1_Inputs'!$B$6),OR('1_Inputs'!$B$14="All Venues",'2_Inventory_Data'!I34='1_Inputs'!$B$14),OR('1_Inputs'!$B$15="All",'2_Inventory_Data'!F34='1_Inputs'!$B$15),OR('1_Inputs'!$B$16="All",'2_Inventory_Data'!G34='1_Inputs'!$B$16)),"MATCH","FILTERED")</f>
        <v/>
      </c>
      <c r="F37">
        <f>IF(E37="MATCH",100,0)</f>
        <v/>
      </c>
      <c r="G37">
        <f>IF(E37="MATCH",IF(D37=1,100,IF(D37=2,85,70)),0)</f>
        <v/>
      </c>
      <c r="H37">
        <f>IF(E37="MATCH",80+MOD(ROW(),21),0)</f>
        <v/>
      </c>
      <c r="I37">
        <f>IF(E37="MATCH",MAX(0,100-'2_Inventory_Data'!J34*0.3),0)</f>
        <v/>
      </c>
      <c r="J37">
        <f>IF(E37="FILTERED",0,ROUND((IF('1_Inputs'!$E$5="All Ages",50,IF('1_Inputs'!$E$5="25-44",('2_Inventory_Data'!S34+'2_Inventory_Data'!T34)*100,IF('1_Inputs'!$E$5="18-24",'2_Inventory_Data'!R34*100,IF('1_Inputs'!$E$5="25-34",'2_Inventory_Data'!S34*100,IF('1_Inputs'!$E$5="35-44",'2_Inventory_Data'!T34*100,IF('1_Inputs'!$E$5="45-54",'2_Inventory_Data'!U34*100,IF('1_Inputs'!$E$5="55+",'2_Inventory_Data'!V34*100,50)))))))+IF('1_Inputs'!$E$8="All",50,IF('1_Inputs'!$E$8="Travel",'2_Inventory_Data'!AC34*100,IF('1_Inputs'!$E$8="Fashion",'2_Inventory_Data'!AD34*100,IF('1_Inputs'!$E$8="Technology",'2_Inventory_Data'!AE34*100,IF('1_Inputs'!$E$8="Food &amp; Beverage",'2_Inventory_Data'!AF34*100,50)))))+IF('1_Inputs'!$E$9="All",50,IF('1_Inputs'!$E$9="Commuters",'2_Inventory_Data'!AG34*100,IF('1_Inputs'!$E$9="Shoppers",'2_Inventory_Data'!AH34*100,IF('1_Inputs'!$E$9="Business Travelers",'2_Inventory_Data'!AI34*100,IF('1_Inputs'!$E$9="Tourists",'2_Inventory_Data'!AJ34*100,50))))))/3,1))</f>
        <v/>
      </c>
      <c r="K37">
        <f>IF(E37="FILTERED",0,IF(OR('2_Inventory_Data'!I34="Transit: Airport",'2_Inventory_Data'!I34="Transit: Rail/Metro Station"),90,IF('2_Inventory_Data'!I34="Retail: Shopping Center",75,65)))</f>
        <v/>
      </c>
      <c r="L37">
        <f>IF(E37="FILTERED",0,MIN(100,'2_Inventory_Data'!L34/5000))</f>
        <v/>
      </c>
      <c r="M37">
        <f>IF(E37="FILTERED",0,MIN(100,'2_Inventory_Data'!N34*4.5))</f>
        <v/>
      </c>
      <c r="N37">
        <f>IF(E37="FILTERED",0,ROUND(G37*0.15+H37*0.10+I37*0.18+J37*0.22+K37*0.10+L37*0.10+M37*0.10+F37*0.05,1))</f>
        <v/>
      </c>
      <c r="O37">
        <f>IF(N37=0,"",RANK(N37,$N$5:$N$44,0))</f>
        <v/>
      </c>
      <c r="P37">
        <f>IF(OR(E37="FILTERED",'2_Inventory_Data'!F34&lt;&gt;"Digital"),"",COUNTIFS($E$5:$E$44,"MATCH",'2_Inventory_Data'!$F$2:$F$41,"Digital",$N$5:$N$44,"&gt;"&amp;N37)+1)</f>
        <v/>
      </c>
      <c r="Q37">
        <f>IF(OR(E37="FILTERED",'2_Inventory_Data'!F34&lt;&gt;"Classic"),"",COUNTIFS($E$5:$E$44,"MATCH",'2_Inventory_Data'!$F$2:$F$41,"Classic",$N$5:$N$44,"&gt;"&amp;N37)+1)</f>
        <v/>
      </c>
      <c r="R37">
        <f>IF(OR(E37="FILTERED",'2_Inventory_Data'!F34&lt;&gt;"Audio"),"",COUNTIFS($E$5:$E$44,"MATCH",'2_Inventory_Data'!$F$2:$F$41,"Audio",$N$5:$N$44,"&gt;"&amp;N37)+1)</f>
        <v/>
      </c>
    </row>
    <row r="38">
      <c r="A38">
        <f>'2_Inventory_Data'!A35</f>
        <v/>
      </c>
      <c r="B38">
        <f>'2_Inventory_Data'!B35</f>
        <v/>
      </c>
      <c r="C38">
        <f>'2_Inventory_Data'!D35</f>
        <v/>
      </c>
      <c r="D38">
        <f>'2_Inventory_Data'!E35</f>
        <v/>
      </c>
      <c r="E38">
        <f>IF(AND('2_Inventory_Data'!C35='1_Inputs'!$B$5,OR('1_Inputs'!$B$6="All Cities",'2_Inventory_Data'!D35='1_Inputs'!$B$6),OR('1_Inputs'!$B$14="All Venues",'2_Inventory_Data'!I35='1_Inputs'!$B$14),OR('1_Inputs'!$B$15="All",'2_Inventory_Data'!F35='1_Inputs'!$B$15),OR('1_Inputs'!$B$16="All",'2_Inventory_Data'!G35='1_Inputs'!$B$16)),"MATCH","FILTERED")</f>
        <v/>
      </c>
      <c r="F38">
        <f>IF(E38="MATCH",100,0)</f>
        <v/>
      </c>
      <c r="G38">
        <f>IF(E38="MATCH",IF(D38=1,100,IF(D38=2,85,70)),0)</f>
        <v/>
      </c>
      <c r="H38">
        <f>IF(E38="MATCH",80+MOD(ROW(),21),0)</f>
        <v/>
      </c>
      <c r="I38">
        <f>IF(E38="MATCH",MAX(0,100-'2_Inventory_Data'!J35*0.3),0)</f>
        <v/>
      </c>
      <c r="J38">
        <f>IF(E38="FILTERED",0,ROUND((IF('1_Inputs'!$E$5="All Ages",50,IF('1_Inputs'!$E$5="25-44",('2_Inventory_Data'!S35+'2_Inventory_Data'!T35)*100,IF('1_Inputs'!$E$5="18-24",'2_Inventory_Data'!R35*100,IF('1_Inputs'!$E$5="25-34",'2_Inventory_Data'!S35*100,IF('1_Inputs'!$E$5="35-44",'2_Inventory_Data'!T35*100,IF('1_Inputs'!$E$5="45-54",'2_Inventory_Data'!U35*100,IF('1_Inputs'!$E$5="55+",'2_Inventory_Data'!V35*100,50)))))))+IF('1_Inputs'!$E$8="All",50,IF('1_Inputs'!$E$8="Travel",'2_Inventory_Data'!AC35*100,IF('1_Inputs'!$E$8="Fashion",'2_Inventory_Data'!AD35*100,IF('1_Inputs'!$E$8="Technology",'2_Inventory_Data'!AE35*100,IF('1_Inputs'!$E$8="Food &amp; Beverage",'2_Inventory_Data'!AF35*100,50)))))+IF('1_Inputs'!$E$9="All",50,IF('1_Inputs'!$E$9="Commuters",'2_Inventory_Data'!AG35*100,IF('1_Inputs'!$E$9="Shoppers",'2_Inventory_Data'!AH35*100,IF('1_Inputs'!$E$9="Business Travelers",'2_Inventory_Data'!AI35*100,IF('1_Inputs'!$E$9="Tourists",'2_Inventory_Data'!AJ35*100,50))))))/3,1))</f>
        <v/>
      </c>
      <c r="K38">
        <f>IF(E38="FILTERED",0,IF(OR('2_Inventory_Data'!I35="Transit: Airport",'2_Inventory_Data'!I35="Transit: Rail/Metro Station"),90,IF('2_Inventory_Data'!I35="Retail: Shopping Center",75,65)))</f>
        <v/>
      </c>
      <c r="L38">
        <f>IF(E38="FILTERED",0,MIN(100,'2_Inventory_Data'!L35/5000))</f>
        <v/>
      </c>
      <c r="M38">
        <f>IF(E38="FILTERED",0,MIN(100,'2_Inventory_Data'!N35*4.5))</f>
        <v/>
      </c>
      <c r="N38">
        <f>IF(E38="FILTERED",0,ROUND(G38*0.15+H38*0.10+I38*0.18+J38*0.22+K38*0.10+L38*0.10+M38*0.10+F38*0.05,1))</f>
        <v/>
      </c>
      <c r="O38">
        <f>IF(N38=0,"",RANK(N38,$N$5:$N$44,0))</f>
        <v/>
      </c>
      <c r="P38">
        <f>IF(OR(E38="FILTERED",'2_Inventory_Data'!F35&lt;&gt;"Digital"),"",COUNTIFS($E$5:$E$44,"MATCH",'2_Inventory_Data'!$F$2:$F$41,"Digital",$N$5:$N$44,"&gt;"&amp;N38)+1)</f>
        <v/>
      </c>
      <c r="Q38">
        <f>IF(OR(E38="FILTERED",'2_Inventory_Data'!F35&lt;&gt;"Classic"),"",COUNTIFS($E$5:$E$44,"MATCH",'2_Inventory_Data'!$F$2:$F$41,"Classic",$N$5:$N$44,"&gt;"&amp;N38)+1)</f>
        <v/>
      </c>
      <c r="R38">
        <f>IF(OR(E38="FILTERED",'2_Inventory_Data'!F35&lt;&gt;"Audio"),"",COUNTIFS($E$5:$E$44,"MATCH",'2_Inventory_Data'!$F$2:$F$41,"Audio",$N$5:$N$44,"&gt;"&amp;N38)+1)</f>
        <v/>
      </c>
    </row>
    <row r="39">
      <c r="A39">
        <f>'2_Inventory_Data'!A36</f>
        <v/>
      </c>
      <c r="B39">
        <f>'2_Inventory_Data'!B36</f>
        <v/>
      </c>
      <c r="C39">
        <f>'2_Inventory_Data'!D36</f>
        <v/>
      </c>
      <c r="D39">
        <f>'2_Inventory_Data'!E36</f>
        <v/>
      </c>
      <c r="E39">
        <f>IF(AND('2_Inventory_Data'!C36='1_Inputs'!$B$5,OR('1_Inputs'!$B$6="All Cities",'2_Inventory_Data'!D36='1_Inputs'!$B$6),OR('1_Inputs'!$B$14="All Venues",'2_Inventory_Data'!I36='1_Inputs'!$B$14),OR('1_Inputs'!$B$15="All",'2_Inventory_Data'!F36='1_Inputs'!$B$15),OR('1_Inputs'!$B$16="All",'2_Inventory_Data'!G36='1_Inputs'!$B$16)),"MATCH","FILTERED")</f>
        <v/>
      </c>
      <c r="F39">
        <f>IF(E39="MATCH",100,0)</f>
        <v/>
      </c>
      <c r="G39">
        <f>IF(E39="MATCH",IF(D39=1,100,IF(D39=2,85,70)),0)</f>
        <v/>
      </c>
      <c r="H39">
        <f>IF(E39="MATCH",80+MOD(ROW(),21),0)</f>
        <v/>
      </c>
      <c r="I39">
        <f>IF(E39="MATCH",MAX(0,100-'2_Inventory_Data'!J36*0.3),0)</f>
        <v/>
      </c>
      <c r="J39">
        <f>IF(E39="FILTERED",0,ROUND((IF('1_Inputs'!$E$5="All Ages",50,IF('1_Inputs'!$E$5="25-44",('2_Inventory_Data'!S36+'2_Inventory_Data'!T36)*100,IF('1_Inputs'!$E$5="18-24",'2_Inventory_Data'!R36*100,IF('1_Inputs'!$E$5="25-34",'2_Inventory_Data'!S36*100,IF('1_Inputs'!$E$5="35-44",'2_Inventory_Data'!T36*100,IF('1_Inputs'!$E$5="45-54",'2_Inventory_Data'!U36*100,IF('1_Inputs'!$E$5="55+",'2_Inventory_Data'!V36*100,50)))))))+IF('1_Inputs'!$E$8="All",50,IF('1_Inputs'!$E$8="Travel",'2_Inventory_Data'!AC36*100,IF('1_Inputs'!$E$8="Fashion",'2_Inventory_Data'!AD36*100,IF('1_Inputs'!$E$8="Technology",'2_Inventory_Data'!AE36*100,IF('1_Inputs'!$E$8="Food &amp; Beverage",'2_Inventory_Data'!AF36*100,50)))))+IF('1_Inputs'!$E$9="All",50,IF('1_Inputs'!$E$9="Commuters",'2_Inventory_Data'!AG36*100,IF('1_Inputs'!$E$9="Shoppers",'2_Inventory_Data'!AH36*100,IF('1_Inputs'!$E$9="Business Travelers",'2_Inventory_Data'!AI36*100,IF('1_Inputs'!$E$9="Tourists",'2_Inventory_Data'!AJ36*100,50))))))/3,1))</f>
        <v/>
      </c>
      <c r="K39">
        <f>IF(E39="FILTERED",0,IF(OR('2_Inventory_Data'!I36="Transit: Airport",'2_Inventory_Data'!I36="Transit: Rail/Metro Station"),90,IF('2_Inventory_Data'!I36="Retail: Shopping Center",75,65)))</f>
        <v/>
      </c>
      <c r="L39">
        <f>IF(E39="FILTERED",0,MIN(100,'2_Inventory_Data'!L36/5000))</f>
        <v/>
      </c>
      <c r="M39">
        <f>IF(E39="FILTERED",0,MIN(100,'2_Inventory_Data'!N36*4.5))</f>
        <v/>
      </c>
      <c r="N39">
        <f>IF(E39="FILTERED",0,ROUND(G39*0.15+H39*0.10+I39*0.18+J39*0.22+K39*0.10+L39*0.10+M39*0.10+F39*0.05,1))</f>
        <v/>
      </c>
      <c r="O39">
        <f>IF(N39=0,"",RANK(N39,$N$5:$N$44,0))</f>
        <v/>
      </c>
      <c r="P39">
        <f>IF(OR(E39="FILTERED",'2_Inventory_Data'!F36&lt;&gt;"Digital"),"",COUNTIFS($E$5:$E$44,"MATCH",'2_Inventory_Data'!$F$2:$F$41,"Digital",$N$5:$N$44,"&gt;"&amp;N39)+1)</f>
        <v/>
      </c>
      <c r="Q39">
        <f>IF(OR(E39="FILTERED",'2_Inventory_Data'!F36&lt;&gt;"Classic"),"",COUNTIFS($E$5:$E$44,"MATCH",'2_Inventory_Data'!$F$2:$F$41,"Classic",$N$5:$N$44,"&gt;"&amp;N39)+1)</f>
        <v/>
      </c>
      <c r="R39">
        <f>IF(OR(E39="FILTERED",'2_Inventory_Data'!F36&lt;&gt;"Audio"),"",COUNTIFS($E$5:$E$44,"MATCH",'2_Inventory_Data'!$F$2:$F$41,"Audio",$N$5:$N$44,"&gt;"&amp;N39)+1)</f>
        <v/>
      </c>
    </row>
    <row r="40">
      <c r="A40">
        <f>'2_Inventory_Data'!A37</f>
        <v/>
      </c>
      <c r="B40">
        <f>'2_Inventory_Data'!B37</f>
        <v/>
      </c>
      <c r="C40">
        <f>'2_Inventory_Data'!D37</f>
        <v/>
      </c>
      <c r="D40">
        <f>'2_Inventory_Data'!E37</f>
        <v/>
      </c>
      <c r="E40">
        <f>IF(AND('2_Inventory_Data'!C37='1_Inputs'!$B$5,OR('1_Inputs'!$B$6="All Cities",'2_Inventory_Data'!D37='1_Inputs'!$B$6),OR('1_Inputs'!$B$14="All Venues",'2_Inventory_Data'!I37='1_Inputs'!$B$14),OR('1_Inputs'!$B$15="All",'2_Inventory_Data'!F37='1_Inputs'!$B$15),OR('1_Inputs'!$B$16="All",'2_Inventory_Data'!G37='1_Inputs'!$B$16)),"MATCH","FILTERED")</f>
        <v/>
      </c>
      <c r="F40">
        <f>IF(E40="MATCH",100,0)</f>
        <v/>
      </c>
      <c r="G40">
        <f>IF(E40="MATCH",IF(D40=1,100,IF(D40=2,85,70)),0)</f>
        <v/>
      </c>
      <c r="H40">
        <f>IF(E40="MATCH",80+MOD(ROW(),21),0)</f>
        <v/>
      </c>
      <c r="I40">
        <f>IF(E40="MATCH",MAX(0,100-'2_Inventory_Data'!J37*0.3),0)</f>
        <v/>
      </c>
      <c r="J40">
        <f>IF(E40="FILTERED",0,ROUND((IF('1_Inputs'!$E$5="All Ages",50,IF('1_Inputs'!$E$5="25-44",('2_Inventory_Data'!S37+'2_Inventory_Data'!T37)*100,IF('1_Inputs'!$E$5="18-24",'2_Inventory_Data'!R37*100,IF('1_Inputs'!$E$5="25-34",'2_Inventory_Data'!S37*100,IF('1_Inputs'!$E$5="35-44",'2_Inventory_Data'!T37*100,IF('1_Inputs'!$E$5="45-54",'2_Inventory_Data'!U37*100,IF('1_Inputs'!$E$5="55+",'2_Inventory_Data'!V37*100,50)))))))+IF('1_Inputs'!$E$8="All",50,IF('1_Inputs'!$E$8="Travel",'2_Inventory_Data'!AC37*100,IF('1_Inputs'!$E$8="Fashion",'2_Inventory_Data'!AD37*100,IF('1_Inputs'!$E$8="Technology",'2_Inventory_Data'!AE37*100,IF('1_Inputs'!$E$8="Food &amp; Beverage",'2_Inventory_Data'!AF37*100,50)))))+IF('1_Inputs'!$E$9="All",50,IF('1_Inputs'!$E$9="Commuters",'2_Inventory_Data'!AG37*100,IF('1_Inputs'!$E$9="Shoppers",'2_Inventory_Data'!AH37*100,IF('1_Inputs'!$E$9="Business Travelers",'2_Inventory_Data'!AI37*100,IF('1_Inputs'!$E$9="Tourists",'2_Inventory_Data'!AJ37*100,50))))))/3,1))</f>
        <v/>
      </c>
      <c r="K40">
        <f>IF(E40="FILTERED",0,IF(OR('2_Inventory_Data'!I37="Transit: Airport",'2_Inventory_Data'!I37="Transit: Rail/Metro Station"),90,IF('2_Inventory_Data'!I37="Retail: Shopping Center",75,65)))</f>
        <v/>
      </c>
      <c r="L40">
        <f>IF(E40="FILTERED",0,MIN(100,'2_Inventory_Data'!L37/5000))</f>
        <v/>
      </c>
      <c r="M40">
        <f>IF(E40="FILTERED",0,MIN(100,'2_Inventory_Data'!N37*4.5))</f>
        <v/>
      </c>
      <c r="N40">
        <f>IF(E40="FILTERED",0,ROUND(G40*0.15+H40*0.10+I40*0.18+J40*0.22+K40*0.10+L40*0.10+M40*0.10+F40*0.05,1))</f>
        <v/>
      </c>
      <c r="O40">
        <f>IF(N40=0,"",RANK(N40,$N$5:$N$44,0))</f>
        <v/>
      </c>
      <c r="P40">
        <f>IF(OR(E40="FILTERED",'2_Inventory_Data'!F37&lt;&gt;"Digital"),"",COUNTIFS($E$5:$E$44,"MATCH",'2_Inventory_Data'!$F$2:$F$41,"Digital",$N$5:$N$44,"&gt;"&amp;N40)+1)</f>
        <v/>
      </c>
      <c r="Q40">
        <f>IF(OR(E40="FILTERED",'2_Inventory_Data'!F37&lt;&gt;"Classic"),"",COUNTIFS($E$5:$E$44,"MATCH",'2_Inventory_Data'!$F$2:$F$41,"Classic",$N$5:$N$44,"&gt;"&amp;N40)+1)</f>
        <v/>
      </c>
      <c r="R40">
        <f>IF(OR(E40="FILTERED",'2_Inventory_Data'!F37&lt;&gt;"Audio"),"",COUNTIFS($E$5:$E$44,"MATCH",'2_Inventory_Data'!$F$2:$F$41,"Audio",$N$5:$N$44,"&gt;"&amp;N40)+1)</f>
        <v/>
      </c>
    </row>
    <row r="41">
      <c r="A41">
        <f>'2_Inventory_Data'!A38</f>
        <v/>
      </c>
      <c r="B41">
        <f>'2_Inventory_Data'!B38</f>
        <v/>
      </c>
      <c r="C41">
        <f>'2_Inventory_Data'!D38</f>
        <v/>
      </c>
      <c r="D41">
        <f>'2_Inventory_Data'!E38</f>
        <v/>
      </c>
      <c r="E41">
        <f>IF(AND('2_Inventory_Data'!C38='1_Inputs'!$B$5,OR('1_Inputs'!$B$6="All Cities",'2_Inventory_Data'!D38='1_Inputs'!$B$6),OR('1_Inputs'!$B$14="All Venues",'2_Inventory_Data'!I38='1_Inputs'!$B$14),OR('1_Inputs'!$B$15="All",'2_Inventory_Data'!F38='1_Inputs'!$B$15),OR('1_Inputs'!$B$16="All",'2_Inventory_Data'!G38='1_Inputs'!$B$16)),"MATCH","FILTERED")</f>
        <v/>
      </c>
      <c r="F41">
        <f>IF(E41="MATCH",100,0)</f>
        <v/>
      </c>
      <c r="G41">
        <f>IF(E41="MATCH",IF(D41=1,100,IF(D41=2,85,70)),0)</f>
        <v/>
      </c>
      <c r="H41">
        <f>IF(E41="MATCH",80+MOD(ROW(),21),0)</f>
        <v/>
      </c>
      <c r="I41">
        <f>IF(E41="MATCH",MAX(0,100-'2_Inventory_Data'!J38*0.3),0)</f>
        <v/>
      </c>
      <c r="J41">
        <f>IF(E41="FILTERED",0,ROUND((IF('1_Inputs'!$E$5="All Ages",50,IF('1_Inputs'!$E$5="25-44",('2_Inventory_Data'!S38+'2_Inventory_Data'!T38)*100,IF('1_Inputs'!$E$5="18-24",'2_Inventory_Data'!R38*100,IF('1_Inputs'!$E$5="25-34",'2_Inventory_Data'!S38*100,IF('1_Inputs'!$E$5="35-44",'2_Inventory_Data'!T38*100,IF('1_Inputs'!$E$5="45-54",'2_Inventory_Data'!U38*100,IF('1_Inputs'!$E$5="55+",'2_Inventory_Data'!V38*100,50)))))))+IF('1_Inputs'!$E$8="All",50,IF('1_Inputs'!$E$8="Travel",'2_Inventory_Data'!AC38*100,IF('1_Inputs'!$E$8="Fashion",'2_Inventory_Data'!AD38*100,IF('1_Inputs'!$E$8="Technology",'2_Inventory_Data'!AE38*100,IF('1_Inputs'!$E$8="Food &amp; Beverage",'2_Inventory_Data'!AF38*100,50)))))+IF('1_Inputs'!$E$9="All",50,IF('1_Inputs'!$E$9="Commuters",'2_Inventory_Data'!AG38*100,IF('1_Inputs'!$E$9="Shoppers",'2_Inventory_Data'!AH38*100,IF('1_Inputs'!$E$9="Business Travelers",'2_Inventory_Data'!AI38*100,IF('1_Inputs'!$E$9="Tourists",'2_Inventory_Data'!AJ38*100,50))))))/3,1))</f>
        <v/>
      </c>
      <c r="K41">
        <f>IF(E41="FILTERED",0,IF(OR('2_Inventory_Data'!I38="Transit: Airport",'2_Inventory_Data'!I38="Transit: Rail/Metro Station"),90,IF('2_Inventory_Data'!I38="Retail: Shopping Center",75,65)))</f>
        <v/>
      </c>
      <c r="L41">
        <f>IF(E41="FILTERED",0,MIN(100,'2_Inventory_Data'!L38/5000))</f>
        <v/>
      </c>
      <c r="M41">
        <f>IF(E41="FILTERED",0,MIN(100,'2_Inventory_Data'!N38*4.5))</f>
        <v/>
      </c>
      <c r="N41">
        <f>IF(E41="FILTERED",0,ROUND(G41*0.15+H41*0.10+I41*0.18+J41*0.22+K41*0.10+L41*0.10+M41*0.10+F41*0.05,1))</f>
        <v/>
      </c>
      <c r="O41">
        <f>IF(N41=0,"",RANK(N41,$N$5:$N$44,0))</f>
        <v/>
      </c>
      <c r="P41">
        <f>IF(OR(E41="FILTERED",'2_Inventory_Data'!F38&lt;&gt;"Digital"),"",COUNTIFS($E$5:$E$44,"MATCH",'2_Inventory_Data'!$F$2:$F$41,"Digital",$N$5:$N$44,"&gt;"&amp;N41)+1)</f>
        <v/>
      </c>
      <c r="Q41">
        <f>IF(OR(E41="FILTERED",'2_Inventory_Data'!F38&lt;&gt;"Classic"),"",COUNTIFS($E$5:$E$44,"MATCH",'2_Inventory_Data'!$F$2:$F$41,"Classic",$N$5:$N$44,"&gt;"&amp;N41)+1)</f>
        <v/>
      </c>
      <c r="R41">
        <f>IF(OR(E41="FILTERED",'2_Inventory_Data'!F38&lt;&gt;"Audio"),"",COUNTIFS($E$5:$E$44,"MATCH",'2_Inventory_Data'!$F$2:$F$41,"Audio",$N$5:$N$44,"&gt;"&amp;N41)+1)</f>
        <v/>
      </c>
    </row>
    <row r="42">
      <c r="A42">
        <f>'2_Inventory_Data'!A39</f>
        <v/>
      </c>
      <c r="B42">
        <f>'2_Inventory_Data'!B39</f>
        <v/>
      </c>
      <c r="C42">
        <f>'2_Inventory_Data'!D39</f>
        <v/>
      </c>
      <c r="D42">
        <f>'2_Inventory_Data'!E39</f>
        <v/>
      </c>
      <c r="E42">
        <f>IF(AND('2_Inventory_Data'!C39='1_Inputs'!$B$5,OR('1_Inputs'!$B$6="All Cities",'2_Inventory_Data'!D39='1_Inputs'!$B$6),OR('1_Inputs'!$B$14="All Venues",'2_Inventory_Data'!I39='1_Inputs'!$B$14),OR('1_Inputs'!$B$15="All",'2_Inventory_Data'!F39='1_Inputs'!$B$15),OR('1_Inputs'!$B$16="All",'2_Inventory_Data'!G39='1_Inputs'!$B$16)),"MATCH","FILTERED")</f>
        <v/>
      </c>
      <c r="F42">
        <f>IF(E42="MATCH",100,0)</f>
        <v/>
      </c>
      <c r="G42">
        <f>IF(E42="MATCH",IF(D42=1,100,IF(D42=2,85,70)),0)</f>
        <v/>
      </c>
      <c r="H42">
        <f>IF(E42="MATCH",80+MOD(ROW(),21),0)</f>
        <v/>
      </c>
      <c r="I42">
        <f>IF(E42="MATCH",MAX(0,100-'2_Inventory_Data'!J39*0.3),0)</f>
        <v/>
      </c>
      <c r="J42">
        <f>IF(E42="FILTERED",0,ROUND((IF('1_Inputs'!$E$5="All Ages",50,IF('1_Inputs'!$E$5="25-44",('2_Inventory_Data'!S39+'2_Inventory_Data'!T39)*100,IF('1_Inputs'!$E$5="18-24",'2_Inventory_Data'!R39*100,IF('1_Inputs'!$E$5="25-34",'2_Inventory_Data'!S39*100,IF('1_Inputs'!$E$5="35-44",'2_Inventory_Data'!T39*100,IF('1_Inputs'!$E$5="45-54",'2_Inventory_Data'!U39*100,IF('1_Inputs'!$E$5="55+",'2_Inventory_Data'!V39*100,50)))))))+IF('1_Inputs'!$E$8="All",50,IF('1_Inputs'!$E$8="Travel",'2_Inventory_Data'!AC39*100,IF('1_Inputs'!$E$8="Fashion",'2_Inventory_Data'!AD39*100,IF('1_Inputs'!$E$8="Technology",'2_Inventory_Data'!AE39*100,IF('1_Inputs'!$E$8="Food &amp; Beverage",'2_Inventory_Data'!AF39*100,50)))))+IF('1_Inputs'!$E$9="All",50,IF('1_Inputs'!$E$9="Commuters",'2_Inventory_Data'!AG39*100,IF('1_Inputs'!$E$9="Shoppers",'2_Inventory_Data'!AH39*100,IF('1_Inputs'!$E$9="Business Travelers",'2_Inventory_Data'!AI39*100,IF('1_Inputs'!$E$9="Tourists",'2_Inventory_Data'!AJ39*100,50))))))/3,1))</f>
        <v/>
      </c>
      <c r="K42">
        <f>IF(E42="FILTERED",0,IF(OR('2_Inventory_Data'!I39="Transit: Airport",'2_Inventory_Data'!I39="Transit: Rail/Metro Station"),90,IF('2_Inventory_Data'!I39="Retail: Shopping Center",75,65)))</f>
        <v/>
      </c>
      <c r="L42">
        <f>IF(E42="FILTERED",0,MIN(100,'2_Inventory_Data'!L39/5000))</f>
        <v/>
      </c>
      <c r="M42">
        <f>IF(E42="FILTERED",0,MIN(100,'2_Inventory_Data'!N39*4.5))</f>
        <v/>
      </c>
      <c r="N42">
        <f>IF(E42="FILTERED",0,ROUND(G42*0.15+H42*0.10+I42*0.18+J42*0.22+K42*0.10+L42*0.10+M42*0.10+F42*0.05,1))</f>
        <v/>
      </c>
      <c r="O42">
        <f>IF(N42=0,"",RANK(N42,$N$5:$N$44,0))</f>
        <v/>
      </c>
      <c r="P42">
        <f>IF(OR(E42="FILTERED",'2_Inventory_Data'!F39&lt;&gt;"Digital"),"",COUNTIFS($E$5:$E$44,"MATCH",'2_Inventory_Data'!$F$2:$F$41,"Digital",$N$5:$N$44,"&gt;"&amp;N42)+1)</f>
        <v/>
      </c>
      <c r="Q42">
        <f>IF(OR(E42="FILTERED",'2_Inventory_Data'!F39&lt;&gt;"Classic"),"",COUNTIFS($E$5:$E$44,"MATCH",'2_Inventory_Data'!$F$2:$F$41,"Classic",$N$5:$N$44,"&gt;"&amp;N42)+1)</f>
        <v/>
      </c>
      <c r="R42">
        <f>IF(OR(E42="FILTERED",'2_Inventory_Data'!F39&lt;&gt;"Audio"),"",COUNTIFS($E$5:$E$44,"MATCH",'2_Inventory_Data'!$F$2:$F$41,"Audio",$N$5:$N$44,"&gt;"&amp;N42)+1)</f>
        <v/>
      </c>
    </row>
    <row r="43">
      <c r="A43">
        <f>'2_Inventory_Data'!A40</f>
        <v/>
      </c>
      <c r="B43">
        <f>'2_Inventory_Data'!B40</f>
        <v/>
      </c>
      <c r="C43">
        <f>'2_Inventory_Data'!D40</f>
        <v/>
      </c>
      <c r="D43">
        <f>'2_Inventory_Data'!E40</f>
        <v/>
      </c>
      <c r="E43">
        <f>IF(AND('2_Inventory_Data'!C40='1_Inputs'!$B$5,OR('1_Inputs'!$B$6="All Cities",'2_Inventory_Data'!D40='1_Inputs'!$B$6),OR('1_Inputs'!$B$14="All Venues",'2_Inventory_Data'!I40='1_Inputs'!$B$14),OR('1_Inputs'!$B$15="All",'2_Inventory_Data'!F40='1_Inputs'!$B$15),OR('1_Inputs'!$B$16="All",'2_Inventory_Data'!G40='1_Inputs'!$B$16)),"MATCH","FILTERED")</f>
        <v/>
      </c>
      <c r="F43">
        <f>IF(E43="MATCH",100,0)</f>
        <v/>
      </c>
      <c r="G43">
        <f>IF(E43="MATCH",IF(D43=1,100,IF(D43=2,85,70)),0)</f>
        <v/>
      </c>
      <c r="H43">
        <f>IF(E43="MATCH",80+MOD(ROW(),21),0)</f>
        <v/>
      </c>
      <c r="I43">
        <f>IF(E43="MATCH",MAX(0,100-'2_Inventory_Data'!J40*0.3),0)</f>
        <v/>
      </c>
      <c r="J43">
        <f>IF(E43="FILTERED",0,ROUND((IF('1_Inputs'!$E$5="All Ages",50,IF('1_Inputs'!$E$5="25-44",('2_Inventory_Data'!S40+'2_Inventory_Data'!T40)*100,IF('1_Inputs'!$E$5="18-24",'2_Inventory_Data'!R40*100,IF('1_Inputs'!$E$5="25-34",'2_Inventory_Data'!S40*100,IF('1_Inputs'!$E$5="35-44",'2_Inventory_Data'!T40*100,IF('1_Inputs'!$E$5="45-54",'2_Inventory_Data'!U40*100,IF('1_Inputs'!$E$5="55+",'2_Inventory_Data'!V40*100,50)))))))+IF('1_Inputs'!$E$8="All",50,IF('1_Inputs'!$E$8="Travel",'2_Inventory_Data'!AC40*100,IF('1_Inputs'!$E$8="Fashion",'2_Inventory_Data'!AD40*100,IF('1_Inputs'!$E$8="Technology",'2_Inventory_Data'!AE40*100,IF('1_Inputs'!$E$8="Food &amp; Beverage",'2_Inventory_Data'!AF40*100,50)))))+IF('1_Inputs'!$E$9="All",50,IF('1_Inputs'!$E$9="Commuters",'2_Inventory_Data'!AG40*100,IF('1_Inputs'!$E$9="Shoppers",'2_Inventory_Data'!AH40*100,IF('1_Inputs'!$E$9="Business Travelers",'2_Inventory_Data'!AI40*100,IF('1_Inputs'!$E$9="Tourists",'2_Inventory_Data'!AJ40*100,50))))))/3,1))</f>
        <v/>
      </c>
      <c r="K43">
        <f>IF(E43="FILTERED",0,IF(OR('2_Inventory_Data'!I40="Transit: Airport",'2_Inventory_Data'!I40="Transit: Rail/Metro Station"),90,IF('2_Inventory_Data'!I40="Retail: Shopping Center",75,65)))</f>
        <v/>
      </c>
      <c r="L43">
        <f>IF(E43="FILTERED",0,MIN(100,'2_Inventory_Data'!L40/5000))</f>
        <v/>
      </c>
      <c r="M43">
        <f>IF(E43="FILTERED",0,MIN(100,'2_Inventory_Data'!N40*4.5))</f>
        <v/>
      </c>
      <c r="N43">
        <f>IF(E43="FILTERED",0,ROUND(G43*0.15+H43*0.10+I43*0.18+J43*0.22+K43*0.10+L43*0.10+M43*0.10+F43*0.05,1))</f>
        <v/>
      </c>
      <c r="O43">
        <f>IF(N43=0,"",RANK(N43,$N$5:$N$44,0))</f>
        <v/>
      </c>
      <c r="P43">
        <f>IF(OR(E43="FILTERED",'2_Inventory_Data'!F40&lt;&gt;"Digital"),"",COUNTIFS($E$5:$E$44,"MATCH",'2_Inventory_Data'!$F$2:$F$41,"Digital",$N$5:$N$44,"&gt;"&amp;N43)+1)</f>
        <v/>
      </c>
      <c r="Q43">
        <f>IF(OR(E43="FILTERED",'2_Inventory_Data'!F40&lt;&gt;"Classic"),"",COUNTIFS($E$5:$E$44,"MATCH",'2_Inventory_Data'!$F$2:$F$41,"Classic",$N$5:$N$44,"&gt;"&amp;N43)+1)</f>
        <v/>
      </c>
      <c r="R43">
        <f>IF(OR(E43="FILTERED",'2_Inventory_Data'!F40&lt;&gt;"Audio"),"",COUNTIFS($E$5:$E$44,"MATCH",'2_Inventory_Data'!$F$2:$F$41,"Audio",$N$5:$N$44,"&gt;"&amp;N43)+1)</f>
        <v/>
      </c>
    </row>
    <row r="44">
      <c r="A44">
        <f>'2_Inventory_Data'!A41</f>
        <v/>
      </c>
      <c r="B44">
        <f>'2_Inventory_Data'!B41</f>
        <v/>
      </c>
      <c r="C44">
        <f>'2_Inventory_Data'!D41</f>
        <v/>
      </c>
      <c r="D44">
        <f>'2_Inventory_Data'!E41</f>
        <v/>
      </c>
      <c r="E44">
        <f>IF(AND('2_Inventory_Data'!C41='1_Inputs'!$B$5,OR('1_Inputs'!$B$6="All Cities",'2_Inventory_Data'!D41='1_Inputs'!$B$6),OR('1_Inputs'!$B$14="All Venues",'2_Inventory_Data'!I41='1_Inputs'!$B$14),OR('1_Inputs'!$B$15="All",'2_Inventory_Data'!F41='1_Inputs'!$B$15),OR('1_Inputs'!$B$16="All",'2_Inventory_Data'!G41='1_Inputs'!$B$16)),"MATCH","FILTERED")</f>
        <v/>
      </c>
      <c r="F44">
        <f>IF(E44="MATCH",100,0)</f>
        <v/>
      </c>
      <c r="G44">
        <f>IF(E44="MATCH",IF(D44=1,100,IF(D44=2,85,70)),0)</f>
        <v/>
      </c>
      <c r="H44">
        <f>IF(E44="MATCH",80+MOD(ROW(),21),0)</f>
        <v/>
      </c>
      <c r="I44">
        <f>IF(E44="MATCH",MAX(0,100-'2_Inventory_Data'!J41*0.3),0)</f>
        <v/>
      </c>
      <c r="J44">
        <f>IF(E44="FILTERED",0,ROUND((IF('1_Inputs'!$E$5="All Ages",50,IF('1_Inputs'!$E$5="25-44",('2_Inventory_Data'!S41+'2_Inventory_Data'!T41)*100,IF('1_Inputs'!$E$5="18-24",'2_Inventory_Data'!R41*100,IF('1_Inputs'!$E$5="25-34",'2_Inventory_Data'!S41*100,IF('1_Inputs'!$E$5="35-44",'2_Inventory_Data'!T41*100,IF('1_Inputs'!$E$5="45-54",'2_Inventory_Data'!U41*100,IF('1_Inputs'!$E$5="55+",'2_Inventory_Data'!V41*100,50)))))))+IF('1_Inputs'!$E$8="All",50,IF('1_Inputs'!$E$8="Travel",'2_Inventory_Data'!AC41*100,IF('1_Inputs'!$E$8="Fashion",'2_Inventory_Data'!AD41*100,IF('1_Inputs'!$E$8="Technology",'2_Inventory_Data'!AE41*100,IF('1_Inputs'!$E$8="Food &amp; Beverage",'2_Inventory_Data'!AF41*100,50)))))+IF('1_Inputs'!$E$9="All",50,IF('1_Inputs'!$E$9="Commuters",'2_Inventory_Data'!AG41*100,IF('1_Inputs'!$E$9="Shoppers",'2_Inventory_Data'!AH41*100,IF('1_Inputs'!$E$9="Business Travelers",'2_Inventory_Data'!AI41*100,IF('1_Inputs'!$E$9="Tourists",'2_Inventory_Data'!AJ41*100,50))))))/3,1))</f>
        <v/>
      </c>
      <c r="K44">
        <f>IF(E44="FILTERED",0,IF(OR('2_Inventory_Data'!I41="Transit: Airport",'2_Inventory_Data'!I41="Transit: Rail/Metro Station"),90,IF('2_Inventory_Data'!I41="Retail: Shopping Center",75,65)))</f>
        <v/>
      </c>
      <c r="L44">
        <f>IF(E44="FILTERED",0,MIN(100,'2_Inventory_Data'!L41/5000))</f>
        <v/>
      </c>
      <c r="M44">
        <f>IF(E44="FILTERED",0,MIN(100,'2_Inventory_Data'!N41*4.5))</f>
        <v/>
      </c>
      <c r="N44">
        <f>IF(E44="FILTERED",0,ROUND(G44*0.15+H44*0.10+I44*0.18+J44*0.22+K44*0.10+L44*0.10+M44*0.10+F44*0.05,1))</f>
        <v/>
      </c>
      <c r="O44">
        <f>IF(N44=0,"",RANK(N44,$N$5:$N$44,0))</f>
        <v/>
      </c>
      <c r="P44">
        <f>IF(OR(E44="FILTERED",'2_Inventory_Data'!F41&lt;&gt;"Digital"),"",COUNTIFS($E$5:$E$44,"MATCH",'2_Inventory_Data'!$F$2:$F$41,"Digital",$N$5:$N$44,"&gt;"&amp;N44)+1)</f>
        <v/>
      </c>
      <c r="Q44">
        <f>IF(OR(E44="FILTERED",'2_Inventory_Data'!F41&lt;&gt;"Classic"),"",COUNTIFS($E$5:$E$44,"MATCH",'2_Inventory_Data'!$F$2:$F$41,"Classic",$N$5:$N$44,"&gt;"&amp;N44)+1)</f>
        <v/>
      </c>
      <c r="R44">
        <f>IF(OR(E44="FILTERED",'2_Inventory_Data'!F41&lt;&gt;"Audio"),"",COUNTIFS($E$5:$E$44,"MATCH",'2_Inventory_Data'!$F$2:$F$41,"Audio",$N$5:$N$44,"&gt;"&amp;N44)+1)</f>
        <v/>
      </c>
    </row>
  </sheetData>
  <mergeCells count="2">
    <mergeCell ref="A2:N2"/>
    <mergeCell ref="A1:N1"/>
  </mergeCells>
  <conditionalFormatting sqref="N5:N44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28" customWidth="1" min="3" max="3"/>
    <col width="14" customWidth="1" min="4" max="4"/>
    <col width="14" customWidth="1" min="5" max="5"/>
    <col width="10" customWidth="1" min="6" max="6"/>
    <col width="14" customWidth="1" min="7" max="7"/>
    <col width="14" customWidth="1" min="8" max="8"/>
    <col width="10" customWidth="1" min="9" max="9"/>
  </cols>
  <sheetData>
    <row r="1">
      <c r="A1" s="12" t="inlineStr">
        <is>
          <t>BUDGET ALLOCATION &amp; INVENTORY SELECTION</t>
        </is>
      </c>
    </row>
    <row r="3">
      <c r="A3" s="3" t="inlineStr">
        <is>
          <t>BUDGET ALLOCATION BY CLASSIFICATION</t>
        </is>
      </c>
    </row>
    <row r="4">
      <c r="A4" s="8" t="inlineStr">
        <is>
          <t>Classification</t>
        </is>
      </c>
      <c r="B4" s="8" t="inlineStr">
        <is>
          <t>Allocation %</t>
        </is>
      </c>
      <c r="C4" s="8" t="inlineStr">
        <is>
          <t>Allocated Budget</t>
        </is>
      </c>
      <c r="D4" s="8" t="inlineStr">
        <is>
          <t>Inventories Matched</t>
        </is>
      </c>
      <c r="E4" s="8" t="inlineStr">
        <is>
          <t>Currency</t>
        </is>
      </c>
    </row>
    <row r="5">
      <c r="A5" t="inlineStr">
        <is>
          <t>Digital</t>
        </is>
      </c>
      <c r="B5" s="9">
        <f>'1_Inputs'!E18</f>
        <v/>
      </c>
      <c r="C5" s="10">
        <f>'1_Inputs'!F18</f>
        <v/>
      </c>
      <c r="D5">
        <f>COUNTIFS('3_Scoring'!$E$5:$E$44,"MATCH",'2_Inventory_Data'!$F$2:$F$41,"Digital")</f>
        <v/>
      </c>
      <c r="E5">
        <f>'1_Inputs'!C5</f>
        <v/>
      </c>
    </row>
    <row r="6">
      <c r="A6" t="inlineStr">
        <is>
          <t>Classic</t>
        </is>
      </c>
      <c r="B6" s="9">
        <f>'1_Inputs'!E19</f>
        <v/>
      </c>
      <c r="C6" s="10">
        <f>'1_Inputs'!F19</f>
        <v/>
      </c>
      <c r="D6">
        <f>COUNTIFS('3_Scoring'!$E$5:$E$44,"MATCH",'2_Inventory_Data'!$F$2:$F$41,"Classic")</f>
        <v/>
      </c>
      <c r="E6">
        <f>'1_Inputs'!C5</f>
        <v/>
      </c>
    </row>
    <row r="7">
      <c r="A7" t="inlineStr">
        <is>
          <t>Audio</t>
        </is>
      </c>
      <c r="B7" s="9">
        <f>'1_Inputs'!E20</f>
        <v/>
      </c>
      <c r="C7" s="10">
        <f>'1_Inputs'!F20</f>
        <v/>
      </c>
      <c r="D7">
        <f>COUNTIFS('3_Scoring'!$E$5:$E$44,"MATCH",'2_Inventory_Data'!$F$2:$F$41,"Audio")</f>
        <v/>
      </c>
      <c r="E7">
        <f>'1_Inputs'!C5</f>
        <v/>
      </c>
    </row>
    <row r="10">
      <c r="A10" s="15" t="inlineStr">
        <is>
          <t>DIGITAL INVENTORIES (Priority 1 - 60% Budget)</t>
        </is>
      </c>
    </row>
    <row r="11">
      <c r="A11" s="8" t="inlineStr">
        <is>
          <t>Rank</t>
        </is>
      </c>
      <c r="B11" s="8" t="inlineStr">
        <is>
          <t>ID</t>
        </is>
      </c>
      <c r="C11" s="8" t="inlineStr">
        <is>
          <t>Name</t>
        </is>
      </c>
      <c r="D11" s="8" t="inlineStr">
        <is>
          <t>City</t>
        </is>
      </c>
      <c r="E11" s="8" t="inlineStr">
        <is>
          <t>Score</t>
        </is>
      </c>
      <c r="F11" s="8" t="inlineStr">
        <is>
          <t>Daily Cost</t>
        </is>
      </c>
      <c r="G11" s="8" t="inlineStr">
        <is>
          <t>Cumulative</t>
        </is>
      </c>
      <c r="H11" s="8" t="inlineStr">
        <is>
          <t>Budget Cap</t>
        </is>
      </c>
      <c r="I11" s="8" t="inlineStr">
        <is>
          <t>Selected</t>
        </is>
      </c>
    </row>
    <row r="12">
      <c r="A12" t="n">
        <v>1</v>
      </c>
      <c r="B12">
        <f>IFERROR(INDEX('3_Scoring'!$A$5:$A$44,MATCH(1,'3_Scoring'!$P$5:$P$44,0)),"")</f>
        <v/>
      </c>
      <c r="C12">
        <f>IF(B12="","",INDEX('3_Scoring'!$B$5:$B$44,MATCH(B12,'3_Scoring'!$A$5:$A$44,0)))</f>
        <v/>
      </c>
      <c r="D12">
        <f>IF(B12="","",INDEX('3_Scoring'!$C$5:$C$44,MATCH(B12,'3_Scoring'!$A$5:$A$44,0)))</f>
        <v/>
      </c>
      <c r="E12">
        <f>IF(B12="","",INDEX('3_Scoring'!$N$5:$N$44,MATCH(B12,'3_Scoring'!$A$5:$A$44,0)))</f>
        <v/>
      </c>
      <c r="F12" s="10">
        <f>IFERROR(IF(B12="","",INDEX('2_Inventory_Data'!$L$2:$L$41,MATCH(B12,'2_Inventory_Data'!$A$2:$A$41,0))/1000*INDEX('2_Inventory_Data'!$J$2:$J$41,MATCH(B12,'2_Inventory_Data'!$A$2:$A$41,0))),"")</f>
        <v/>
      </c>
      <c r="G12" s="10">
        <f>IF(B12="","",SUM($F$12:F12)*'1_Inputs'!$E$12)</f>
        <v/>
      </c>
      <c r="H12" s="10">
        <f>$C$5</f>
        <v/>
      </c>
      <c r="I12">
        <f>IF(B12="","",IF(G12&lt;=H12*1.05,"YES","NO"))</f>
        <v/>
      </c>
    </row>
    <row r="13">
      <c r="A13" t="n">
        <v>2</v>
      </c>
      <c r="B13">
        <f>IFERROR(INDEX('3_Scoring'!$A$5:$A$44,MATCH(2,'3_Scoring'!$P$5:$P$44,0)),"")</f>
        <v/>
      </c>
      <c r="C13">
        <f>IF(B13="","",INDEX('3_Scoring'!$B$5:$B$44,MATCH(B13,'3_Scoring'!$A$5:$A$44,0)))</f>
        <v/>
      </c>
      <c r="D13">
        <f>IF(B13="","",INDEX('3_Scoring'!$C$5:$C$44,MATCH(B13,'3_Scoring'!$A$5:$A$44,0)))</f>
        <v/>
      </c>
      <c r="E13">
        <f>IF(B13="","",INDEX('3_Scoring'!$N$5:$N$44,MATCH(B13,'3_Scoring'!$A$5:$A$44,0)))</f>
        <v/>
      </c>
      <c r="F13" s="10">
        <f>IFERROR(IF(B13="","",INDEX('2_Inventory_Data'!$L$2:$L$41,MATCH(B13,'2_Inventory_Data'!$A$2:$A$41,0))/1000*INDEX('2_Inventory_Data'!$J$2:$J$41,MATCH(B13,'2_Inventory_Data'!$A$2:$A$41,0))),"")</f>
        <v/>
      </c>
      <c r="G13" s="10">
        <f>IF(B13="","",SUM($F$12:F13)*'1_Inputs'!$E$12)</f>
        <v/>
      </c>
      <c r="H13" s="10">
        <f>$C$5</f>
        <v/>
      </c>
      <c r="I13">
        <f>IF(B13="","",IF(G13&lt;=H13*1.05,"YES","NO"))</f>
        <v/>
      </c>
    </row>
    <row r="14">
      <c r="A14" t="n">
        <v>3</v>
      </c>
      <c r="B14">
        <f>IFERROR(INDEX('3_Scoring'!$A$5:$A$44,MATCH(3,'3_Scoring'!$P$5:$P$44,0)),"")</f>
        <v/>
      </c>
      <c r="C14">
        <f>IF(B14="","",INDEX('3_Scoring'!$B$5:$B$44,MATCH(B14,'3_Scoring'!$A$5:$A$44,0)))</f>
        <v/>
      </c>
      <c r="D14">
        <f>IF(B14="","",INDEX('3_Scoring'!$C$5:$C$44,MATCH(B14,'3_Scoring'!$A$5:$A$44,0)))</f>
        <v/>
      </c>
      <c r="E14">
        <f>IF(B14="","",INDEX('3_Scoring'!$N$5:$N$44,MATCH(B14,'3_Scoring'!$A$5:$A$44,0)))</f>
        <v/>
      </c>
      <c r="F14" s="10">
        <f>IFERROR(IF(B14="","",INDEX('2_Inventory_Data'!$L$2:$L$41,MATCH(B14,'2_Inventory_Data'!$A$2:$A$41,0))/1000*INDEX('2_Inventory_Data'!$J$2:$J$41,MATCH(B14,'2_Inventory_Data'!$A$2:$A$41,0))),"")</f>
        <v/>
      </c>
      <c r="G14" s="10">
        <f>IF(B14="","",SUM($F$12:F14)*'1_Inputs'!$E$12)</f>
        <v/>
      </c>
      <c r="H14" s="10">
        <f>$C$5</f>
        <v/>
      </c>
      <c r="I14">
        <f>IF(B14="","",IF(G14&lt;=H14*1.05,"YES","NO"))</f>
        <v/>
      </c>
    </row>
    <row r="15">
      <c r="A15" t="n">
        <v>4</v>
      </c>
      <c r="B15">
        <f>IFERROR(INDEX('3_Scoring'!$A$5:$A$44,MATCH(4,'3_Scoring'!$P$5:$P$44,0)),"")</f>
        <v/>
      </c>
      <c r="C15">
        <f>IF(B15="","",INDEX('3_Scoring'!$B$5:$B$44,MATCH(B15,'3_Scoring'!$A$5:$A$44,0)))</f>
        <v/>
      </c>
      <c r="D15">
        <f>IF(B15="","",INDEX('3_Scoring'!$C$5:$C$44,MATCH(B15,'3_Scoring'!$A$5:$A$44,0)))</f>
        <v/>
      </c>
      <c r="E15">
        <f>IF(B15="","",INDEX('3_Scoring'!$N$5:$N$44,MATCH(B15,'3_Scoring'!$A$5:$A$44,0)))</f>
        <v/>
      </c>
      <c r="F15" s="10">
        <f>IFERROR(IF(B15="","",INDEX('2_Inventory_Data'!$L$2:$L$41,MATCH(B15,'2_Inventory_Data'!$A$2:$A$41,0))/1000*INDEX('2_Inventory_Data'!$J$2:$J$41,MATCH(B15,'2_Inventory_Data'!$A$2:$A$41,0))),"")</f>
        <v/>
      </c>
      <c r="G15" s="10">
        <f>IF(B15="","",SUM($F$12:F15)*'1_Inputs'!$E$12)</f>
        <v/>
      </c>
      <c r="H15" s="10">
        <f>$C$5</f>
        <v/>
      </c>
      <c r="I15">
        <f>IF(B15="","",IF(G15&lt;=H15*1.05,"YES","NO"))</f>
        <v/>
      </c>
    </row>
    <row r="16">
      <c r="A16" t="n">
        <v>5</v>
      </c>
      <c r="B16">
        <f>IFERROR(INDEX('3_Scoring'!$A$5:$A$44,MATCH(5,'3_Scoring'!$P$5:$P$44,0)),"")</f>
        <v/>
      </c>
      <c r="C16">
        <f>IF(B16="","",INDEX('3_Scoring'!$B$5:$B$44,MATCH(B16,'3_Scoring'!$A$5:$A$44,0)))</f>
        <v/>
      </c>
      <c r="D16">
        <f>IF(B16="","",INDEX('3_Scoring'!$C$5:$C$44,MATCH(B16,'3_Scoring'!$A$5:$A$44,0)))</f>
        <v/>
      </c>
      <c r="E16">
        <f>IF(B16="","",INDEX('3_Scoring'!$N$5:$N$44,MATCH(B16,'3_Scoring'!$A$5:$A$44,0)))</f>
        <v/>
      </c>
      <c r="F16" s="10">
        <f>IFERROR(IF(B16="","",INDEX('2_Inventory_Data'!$L$2:$L$41,MATCH(B16,'2_Inventory_Data'!$A$2:$A$41,0))/1000*INDEX('2_Inventory_Data'!$J$2:$J$41,MATCH(B16,'2_Inventory_Data'!$A$2:$A$41,0))),"")</f>
        <v/>
      </c>
      <c r="G16" s="10">
        <f>IF(B16="","",SUM($F$12:F16)*'1_Inputs'!$E$12)</f>
        <v/>
      </c>
      <c r="H16" s="10">
        <f>$C$5</f>
        <v/>
      </c>
      <c r="I16">
        <f>IF(B16="","",IF(G16&lt;=H16*1.05,"YES","NO"))</f>
        <v/>
      </c>
    </row>
    <row r="17">
      <c r="A17" t="n">
        <v>6</v>
      </c>
      <c r="B17">
        <f>IFERROR(INDEX('3_Scoring'!$A$5:$A$44,MATCH(6,'3_Scoring'!$P$5:$P$44,0)),"")</f>
        <v/>
      </c>
      <c r="C17">
        <f>IF(B17="","",INDEX('3_Scoring'!$B$5:$B$44,MATCH(B17,'3_Scoring'!$A$5:$A$44,0)))</f>
        <v/>
      </c>
      <c r="D17">
        <f>IF(B17="","",INDEX('3_Scoring'!$C$5:$C$44,MATCH(B17,'3_Scoring'!$A$5:$A$44,0)))</f>
        <v/>
      </c>
      <c r="E17">
        <f>IF(B17="","",INDEX('3_Scoring'!$N$5:$N$44,MATCH(B17,'3_Scoring'!$A$5:$A$44,0)))</f>
        <v/>
      </c>
      <c r="F17" s="10">
        <f>IFERROR(IF(B17="","",INDEX('2_Inventory_Data'!$L$2:$L$41,MATCH(B17,'2_Inventory_Data'!$A$2:$A$41,0))/1000*INDEX('2_Inventory_Data'!$J$2:$J$41,MATCH(B17,'2_Inventory_Data'!$A$2:$A$41,0))),"")</f>
        <v/>
      </c>
      <c r="G17" s="10">
        <f>IF(B17="","",SUM($F$12:F17)*'1_Inputs'!$E$12)</f>
        <v/>
      </c>
      <c r="H17" s="10">
        <f>$C$5</f>
        <v/>
      </c>
      <c r="I17">
        <f>IF(B17="","",IF(G17&lt;=H17*1.05,"YES","NO"))</f>
        <v/>
      </c>
    </row>
    <row r="19">
      <c r="A19" s="16" t="inlineStr">
        <is>
          <t>CLASSIC INVENTORIES (Priority 2 - 35% Budget)</t>
        </is>
      </c>
    </row>
    <row r="20">
      <c r="A20" s="8" t="inlineStr">
        <is>
          <t>Rank</t>
        </is>
      </c>
      <c r="B20" s="8" t="inlineStr">
        <is>
          <t>ID</t>
        </is>
      </c>
      <c r="C20" s="8" t="inlineStr">
        <is>
          <t>Name</t>
        </is>
      </c>
      <c r="D20" s="8" t="inlineStr">
        <is>
          <t>City</t>
        </is>
      </c>
      <c r="E20" s="8" t="inlineStr">
        <is>
          <t>Score</t>
        </is>
      </c>
      <c r="F20" s="8" t="inlineStr">
        <is>
          <t>Daily Cost</t>
        </is>
      </c>
      <c r="G20" s="8" t="inlineStr">
        <is>
          <t>Cumulative</t>
        </is>
      </c>
      <c r="H20" s="8" t="inlineStr">
        <is>
          <t>Budget Cap</t>
        </is>
      </c>
      <c r="I20" s="8" t="inlineStr">
        <is>
          <t>Selected</t>
        </is>
      </c>
    </row>
    <row r="21">
      <c r="A21" t="n">
        <v>1</v>
      </c>
      <c r="B21">
        <f>IFERROR(INDEX('3_Scoring'!$A$5:$A$44,MATCH(1,'3_Scoring'!$Q$5:$Q$44,0)),"")</f>
        <v/>
      </c>
      <c r="C21">
        <f>IF(B21="","",INDEX('3_Scoring'!$B$5:$B$44,MATCH(B21,'3_Scoring'!$A$5:$A$44,0)))</f>
        <v/>
      </c>
      <c r="D21">
        <f>IF(B21="","",INDEX('3_Scoring'!$C$5:$C$44,MATCH(B21,'3_Scoring'!$A$5:$A$44,0)))</f>
        <v/>
      </c>
      <c r="E21">
        <f>IF(B21="","",INDEX('3_Scoring'!$N$5:$N$44,MATCH(B21,'3_Scoring'!$A$5:$A$44,0)))</f>
        <v/>
      </c>
      <c r="F21" s="10">
        <f>IFERROR(IF(B21="","",INDEX('2_Inventory_Data'!$L$2:$L$41,MATCH(B21,'2_Inventory_Data'!$A$2:$A$41,0))/1000*INDEX('2_Inventory_Data'!$J$2:$J$41,MATCH(B21,'2_Inventory_Data'!$A$2:$A$41,0))),"")</f>
        <v/>
      </c>
      <c r="G21" s="10">
        <f>IF(B21="","",SUM($F$21:F21)*'1_Inputs'!$E$12)</f>
        <v/>
      </c>
      <c r="H21" s="10">
        <f>$C$6</f>
        <v/>
      </c>
      <c r="I21">
        <f>IF(B21="","",IF(G21&lt;=H21*1.05,"YES","NO"))</f>
        <v/>
      </c>
    </row>
    <row r="22">
      <c r="A22" t="n">
        <v>2</v>
      </c>
      <c r="B22">
        <f>IFERROR(INDEX('3_Scoring'!$A$5:$A$44,MATCH(2,'3_Scoring'!$Q$5:$Q$44,0)),"")</f>
        <v/>
      </c>
      <c r="C22">
        <f>IF(B22="","",INDEX('3_Scoring'!$B$5:$B$44,MATCH(B22,'3_Scoring'!$A$5:$A$44,0)))</f>
        <v/>
      </c>
      <c r="D22">
        <f>IF(B22="","",INDEX('3_Scoring'!$C$5:$C$44,MATCH(B22,'3_Scoring'!$A$5:$A$44,0)))</f>
        <v/>
      </c>
      <c r="E22">
        <f>IF(B22="","",INDEX('3_Scoring'!$N$5:$N$44,MATCH(B22,'3_Scoring'!$A$5:$A$44,0)))</f>
        <v/>
      </c>
      <c r="F22" s="10">
        <f>IFERROR(IF(B22="","",INDEX('2_Inventory_Data'!$L$2:$L$41,MATCH(B22,'2_Inventory_Data'!$A$2:$A$41,0))/1000*INDEX('2_Inventory_Data'!$J$2:$J$41,MATCH(B22,'2_Inventory_Data'!$A$2:$A$41,0))),"")</f>
        <v/>
      </c>
      <c r="G22" s="10">
        <f>IF(B22="","",SUM($F$21:F22)*'1_Inputs'!$E$12)</f>
        <v/>
      </c>
      <c r="H22" s="10">
        <f>$C$6</f>
        <v/>
      </c>
      <c r="I22">
        <f>IF(B22="","",IF(G22&lt;=H22*1.05,"YES","NO"))</f>
        <v/>
      </c>
    </row>
    <row r="23">
      <c r="A23" t="n">
        <v>3</v>
      </c>
      <c r="B23">
        <f>IFERROR(INDEX('3_Scoring'!$A$5:$A$44,MATCH(3,'3_Scoring'!$Q$5:$Q$44,0)),"")</f>
        <v/>
      </c>
      <c r="C23">
        <f>IF(B23="","",INDEX('3_Scoring'!$B$5:$B$44,MATCH(B23,'3_Scoring'!$A$5:$A$44,0)))</f>
        <v/>
      </c>
      <c r="D23">
        <f>IF(B23="","",INDEX('3_Scoring'!$C$5:$C$44,MATCH(B23,'3_Scoring'!$A$5:$A$44,0)))</f>
        <v/>
      </c>
      <c r="E23">
        <f>IF(B23="","",INDEX('3_Scoring'!$N$5:$N$44,MATCH(B23,'3_Scoring'!$A$5:$A$44,0)))</f>
        <v/>
      </c>
      <c r="F23" s="10">
        <f>IFERROR(IF(B23="","",INDEX('2_Inventory_Data'!$L$2:$L$41,MATCH(B23,'2_Inventory_Data'!$A$2:$A$41,0))/1000*INDEX('2_Inventory_Data'!$J$2:$J$41,MATCH(B23,'2_Inventory_Data'!$A$2:$A$41,0))),"")</f>
        <v/>
      </c>
      <c r="G23" s="10">
        <f>IF(B23="","",SUM($F$21:F23)*'1_Inputs'!$E$12)</f>
        <v/>
      </c>
      <c r="H23" s="10">
        <f>$C$6</f>
        <v/>
      </c>
      <c r="I23">
        <f>IF(B23="","",IF(G23&lt;=H23*1.05,"YES","NO"))</f>
        <v/>
      </c>
    </row>
    <row r="24">
      <c r="A24" t="n">
        <v>4</v>
      </c>
      <c r="B24">
        <f>IFERROR(INDEX('3_Scoring'!$A$5:$A$44,MATCH(4,'3_Scoring'!$Q$5:$Q$44,0)),"")</f>
        <v/>
      </c>
      <c r="C24">
        <f>IF(B24="","",INDEX('3_Scoring'!$B$5:$B$44,MATCH(B24,'3_Scoring'!$A$5:$A$44,0)))</f>
        <v/>
      </c>
      <c r="D24">
        <f>IF(B24="","",INDEX('3_Scoring'!$C$5:$C$44,MATCH(B24,'3_Scoring'!$A$5:$A$44,0)))</f>
        <v/>
      </c>
      <c r="E24">
        <f>IF(B24="","",INDEX('3_Scoring'!$N$5:$N$44,MATCH(B24,'3_Scoring'!$A$5:$A$44,0)))</f>
        <v/>
      </c>
      <c r="F24" s="10">
        <f>IFERROR(IF(B24="","",INDEX('2_Inventory_Data'!$L$2:$L$41,MATCH(B24,'2_Inventory_Data'!$A$2:$A$41,0))/1000*INDEX('2_Inventory_Data'!$J$2:$J$41,MATCH(B24,'2_Inventory_Data'!$A$2:$A$41,0))),"")</f>
        <v/>
      </c>
      <c r="G24" s="10">
        <f>IF(B24="","",SUM($F$21:F24)*'1_Inputs'!$E$12)</f>
        <v/>
      </c>
      <c r="H24" s="10">
        <f>$C$6</f>
        <v/>
      </c>
      <c r="I24">
        <f>IF(B24="","",IF(G24&lt;=H24*1.05,"YES","NO"))</f>
        <v/>
      </c>
    </row>
    <row r="25">
      <c r="A25" t="n">
        <v>5</v>
      </c>
      <c r="B25">
        <f>IFERROR(INDEX('3_Scoring'!$A$5:$A$44,MATCH(5,'3_Scoring'!$Q$5:$Q$44,0)),"")</f>
        <v/>
      </c>
      <c r="C25">
        <f>IF(B25="","",INDEX('3_Scoring'!$B$5:$B$44,MATCH(B25,'3_Scoring'!$A$5:$A$44,0)))</f>
        <v/>
      </c>
      <c r="D25">
        <f>IF(B25="","",INDEX('3_Scoring'!$C$5:$C$44,MATCH(B25,'3_Scoring'!$A$5:$A$44,0)))</f>
        <v/>
      </c>
      <c r="E25">
        <f>IF(B25="","",INDEX('3_Scoring'!$N$5:$N$44,MATCH(B25,'3_Scoring'!$A$5:$A$44,0)))</f>
        <v/>
      </c>
      <c r="F25" s="10">
        <f>IFERROR(IF(B25="","",INDEX('2_Inventory_Data'!$L$2:$L$41,MATCH(B25,'2_Inventory_Data'!$A$2:$A$41,0))/1000*INDEX('2_Inventory_Data'!$J$2:$J$41,MATCH(B25,'2_Inventory_Data'!$A$2:$A$41,0))),"")</f>
        <v/>
      </c>
      <c r="G25" s="10">
        <f>IF(B25="","",SUM($F$21:F25)*'1_Inputs'!$E$12)</f>
        <v/>
      </c>
      <c r="H25" s="10">
        <f>$C$6</f>
        <v/>
      </c>
      <c r="I25">
        <f>IF(B25="","",IF(G25&lt;=H25*1.05,"YES","NO"))</f>
        <v/>
      </c>
    </row>
    <row r="27">
      <c r="A27" s="17" t="inlineStr">
        <is>
          <t>AUDIO INVENTORIES (Priority 3 - 5% Budget, Lowest Priority)</t>
        </is>
      </c>
    </row>
    <row r="28">
      <c r="A28" s="8" t="inlineStr">
        <is>
          <t>Rank</t>
        </is>
      </c>
      <c r="B28" s="8" t="inlineStr">
        <is>
          <t>ID</t>
        </is>
      </c>
      <c r="C28" s="8" t="inlineStr">
        <is>
          <t>Name</t>
        </is>
      </c>
      <c r="D28" s="8" t="inlineStr">
        <is>
          <t>City</t>
        </is>
      </c>
      <c r="E28" s="8" t="inlineStr">
        <is>
          <t>Score</t>
        </is>
      </c>
      <c r="F28" s="8" t="inlineStr">
        <is>
          <t>Daily Cost</t>
        </is>
      </c>
      <c r="G28" s="8" t="inlineStr">
        <is>
          <t>Cumulative</t>
        </is>
      </c>
      <c r="H28" s="8" t="inlineStr">
        <is>
          <t>Budget Cap</t>
        </is>
      </c>
      <c r="I28" s="8" t="inlineStr">
        <is>
          <t>Selected</t>
        </is>
      </c>
    </row>
    <row r="29">
      <c r="A29" t="n">
        <v>1</v>
      </c>
      <c r="B29">
        <f>IFERROR(INDEX('3_Scoring'!$A$5:$A$44,MATCH(1,'3_Scoring'!$R$5:$R$44,0)),"")</f>
        <v/>
      </c>
      <c r="C29">
        <f>IF(B29="","",INDEX('3_Scoring'!$B$5:$B$44,MATCH(B29,'3_Scoring'!$A$5:$A$44,0)))</f>
        <v/>
      </c>
      <c r="D29">
        <f>IF(B29="","",INDEX('3_Scoring'!$C$5:$C$44,MATCH(B29,'3_Scoring'!$A$5:$A$44,0)))</f>
        <v/>
      </c>
      <c r="E29">
        <f>IF(B29="","",INDEX('3_Scoring'!$N$5:$N$44,MATCH(B29,'3_Scoring'!$A$5:$A$44,0)))</f>
        <v/>
      </c>
      <c r="F29" s="10">
        <f>IFERROR(IF(B29="","",INDEX('2_Inventory_Data'!$L$2:$L$41,MATCH(B29,'2_Inventory_Data'!$A$2:$A$41,0))/1000*INDEX('2_Inventory_Data'!$J$2:$J$41,MATCH(B29,'2_Inventory_Data'!$A$2:$A$41,0))),"")</f>
        <v/>
      </c>
      <c r="G29" s="10">
        <f>IF(B29="","",SUM($F$29:F29)*'1_Inputs'!$E$12)</f>
        <v/>
      </c>
      <c r="H29" s="10">
        <f>$C$7</f>
        <v/>
      </c>
      <c r="I29">
        <f>IF(B29="","",IF(AND(G29&lt;=H29*1.05,$B$7&gt;0),"YES","NO"))</f>
        <v/>
      </c>
    </row>
    <row r="30">
      <c r="A30" t="n">
        <v>2</v>
      </c>
      <c r="B30">
        <f>IFERROR(INDEX('3_Scoring'!$A$5:$A$44,MATCH(2,'3_Scoring'!$R$5:$R$44,0)),"")</f>
        <v/>
      </c>
      <c r="C30">
        <f>IF(B30="","",INDEX('3_Scoring'!$B$5:$B$44,MATCH(B30,'3_Scoring'!$A$5:$A$44,0)))</f>
        <v/>
      </c>
      <c r="D30">
        <f>IF(B30="","",INDEX('3_Scoring'!$C$5:$C$44,MATCH(B30,'3_Scoring'!$A$5:$A$44,0)))</f>
        <v/>
      </c>
      <c r="E30">
        <f>IF(B30="","",INDEX('3_Scoring'!$N$5:$N$44,MATCH(B30,'3_Scoring'!$A$5:$A$44,0)))</f>
        <v/>
      </c>
      <c r="F30" s="10">
        <f>IFERROR(IF(B30="","",INDEX('2_Inventory_Data'!$L$2:$L$41,MATCH(B30,'2_Inventory_Data'!$A$2:$A$41,0))/1000*INDEX('2_Inventory_Data'!$J$2:$J$41,MATCH(B30,'2_Inventory_Data'!$A$2:$A$41,0))),"")</f>
        <v/>
      </c>
      <c r="G30" s="10">
        <f>IF(B30="","",SUM($F$29:F30)*'1_Inputs'!$E$12)</f>
        <v/>
      </c>
      <c r="H30" s="10">
        <f>$C$7</f>
        <v/>
      </c>
      <c r="I30">
        <f>IF(B30="","",IF(AND(G30&lt;=H30*1.05,$B$7&gt;0),"YES","NO"))</f>
        <v/>
      </c>
    </row>
    <row r="31">
      <c r="A31" t="n">
        <v>3</v>
      </c>
      <c r="B31">
        <f>IFERROR(INDEX('3_Scoring'!$A$5:$A$44,MATCH(3,'3_Scoring'!$R$5:$R$44,0)),"")</f>
        <v/>
      </c>
      <c r="C31">
        <f>IF(B31="","",INDEX('3_Scoring'!$B$5:$B$44,MATCH(B31,'3_Scoring'!$A$5:$A$44,0)))</f>
        <v/>
      </c>
      <c r="D31">
        <f>IF(B31="","",INDEX('3_Scoring'!$C$5:$C$44,MATCH(B31,'3_Scoring'!$A$5:$A$44,0)))</f>
        <v/>
      </c>
      <c r="E31">
        <f>IF(B31="","",INDEX('3_Scoring'!$N$5:$N$44,MATCH(B31,'3_Scoring'!$A$5:$A$44,0)))</f>
        <v/>
      </c>
      <c r="F31" s="10">
        <f>IFERROR(IF(B31="","",INDEX('2_Inventory_Data'!$L$2:$L$41,MATCH(B31,'2_Inventory_Data'!$A$2:$A$41,0))/1000*INDEX('2_Inventory_Data'!$J$2:$J$41,MATCH(B31,'2_Inventory_Data'!$A$2:$A$41,0))),"")</f>
        <v/>
      </c>
      <c r="G31" s="10">
        <f>IF(B31="","",SUM($F$29:F31)*'1_Inputs'!$E$12)</f>
        <v/>
      </c>
      <c r="H31" s="10">
        <f>$C$7</f>
        <v/>
      </c>
      <c r="I31">
        <f>IF(B31="","",IF(AND(G31&lt;=H31*1.05,$B$7&gt;0),"YES","NO"))</f>
        <v/>
      </c>
    </row>
    <row r="32">
      <c r="A32" s="18" t="inlineStr">
        <is>
          <t>Note: Audio is lowest priority. Only selected when allocation &gt; 0% and within budget cap.</t>
        </is>
      </c>
    </row>
  </sheetData>
  <mergeCells count="6">
    <mergeCell ref="A19:I19"/>
    <mergeCell ref="A10:I10"/>
    <mergeCell ref="A32:I32"/>
    <mergeCell ref="A1:I1"/>
    <mergeCell ref="A27:I27"/>
    <mergeCell ref="A3:E3"/>
  </mergeCells>
  <conditionalFormatting sqref="I12:I17">
    <cfRule type="expression" priority="1" dxfId="0">
      <formula>$I12="YES"</formula>
    </cfRule>
  </conditionalFormatting>
  <conditionalFormatting sqref="I21:I25">
    <cfRule type="expression" priority="2" dxfId="0">
      <formula>$I21="YES"</formula>
    </cfRule>
  </conditionalFormatting>
  <conditionalFormatting sqref="I29:I31">
    <cfRule type="expression" priority="3" dxfId="0">
      <formula>$I29="YES"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14" customWidth="1" min="3" max="3"/>
    <col width="12" customWidth="1" min="4" max="4"/>
    <col width="12" customWidth="1" min="5" max="5"/>
    <col width="11" customWidth="1" min="6" max="6"/>
    <col width="12" customWidth="1" min="7" max="7"/>
    <col width="11" customWidth="1" min="8" max="8"/>
    <col width="10" customWidth="1" min="9" max="9"/>
    <col width="10" customWidth="1" min="10" max="10"/>
    <col width="12" customWidth="1" min="11" max="11"/>
    <col width="12" customWidth="1" min="12" max="12"/>
    <col width="14" customWidth="1" min="13" max="13"/>
    <col width="14" customWidth="1" min="14" max="14"/>
    <col width="14" customWidth="1" min="15" max="15"/>
  </cols>
  <sheetData>
    <row r="1">
      <c r="A1" s="12" t="inlineStr">
        <is>
          <t>SCHEDULE CREATION - DETAILED VIEW</t>
        </is>
      </c>
    </row>
    <row r="2">
      <c r="A2" s="13" t="inlineStr">
        <is>
          <t>Each selected inventory gets a schedule with start/end dates and optimal time slots based on operating hours.</t>
        </is>
      </c>
    </row>
    <row r="4">
      <c r="A4" s="11" t="inlineStr">
        <is>
          <t>Inventory ID</t>
        </is>
      </c>
      <c r="B4" s="11" t="inlineStr">
        <is>
          <t>Name</t>
        </is>
      </c>
      <c r="C4" s="11" t="inlineStr">
        <is>
          <t>City</t>
        </is>
      </c>
      <c r="D4" s="11" t="inlineStr">
        <is>
          <t>Classification</t>
        </is>
      </c>
      <c r="E4" s="11" t="inlineStr">
        <is>
          <t>Start Date</t>
        </is>
      </c>
      <c r="F4" s="11" t="inlineStr">
        <is>
          <t>Start Time</t>
        </is>
      </c>
      <c r="G4" s="11" t="inlineStr">
        <is>
          <t>End Date</t>
        </is>
      </c>
      <c r="H4" s="11" t="inlineStr">
        <is>
          <t>End Time</t>
        </is>
      </c>
      <c r="I4" s="11" t="inlineStr">
        <is>
          <t>Op. Hours</t>
        </is>
      </c>
      <c r="J4" s="11" t="inlineStr">
        <is>
          <t>Hours/Day</t>
        </is>
      </c>
      <c r="K4" s="11" t="inlineStr">
        <is>
          <t>Daily Impr.</t>
        </is>
      </c>
      <c r="L4" s="11" t="inlineStr">
        <is>
          <t>Daily Cost</t>
        </is>
      </c>
      <c r="M4" s="11" t="inlineStr">
        <is>
          <t>Campaign Impr.</t>
        </is>
      </c>
      <c r="N4" s="11" t="inlineStr">
        <is>
          <t>Campaign Cost</t>
        </is>
      </c>
      <c r="O4" s="11" t="inlineStr">
        <is>
          <t>Contrib. to Goal</t>
        </is>
      </c>
    </row>
    <row r="5">
      <c r="A5">
        <f>IF('4_Selection'!I12="YES",'4_Selection'!B12,"")</f>
        <v/>
      </c>
      <c r="B5">
        <f>IF(A5="","",'4_Selection'!C12)</f>
        <v/>
      </c>
      <c r="C5">
        <f>IF(A5="","",'4_Selection'!D12)</f>
        <v/>
      </c>
      <c r="D5">
        <f>IF(A5="","",INDEX('2_Inventory_Data'!$F$2:$F$41,MATCH(A5,'2_Inventory_Data'!$A$2:$A$41,0)))</f>
        <v/>
      </c>
      <c r="E5">
        <f>IF(A5="","",'1_Inputs'!$B$7)</f>
        <v/>
      </c>
      <c r="F5">
        <f>IF(A5="","",IF(INDEX('2_Inventory_Data'!$N$2:$N$41,MATCH(A5,'2_Inventory_Data'!$A$2:$A$41,0))&gt;=20,"06:00",IF(INDEX('2_Inventory_Data'!$N$2:$N$41,MATCH(A5,'2_Inventory_Data'!$A$2:$A$41,0))&gt;=16,"07:00","08:00")))</f>
        <v/>
      </c>
      <c r="G5">
        <f>IF(A5="","",'1_Inputs'!$B$8)</f>
        <v/>
      </c>
      <c r="H5">
        <f>IF(A5="","",IF(INDEX('2_Inventory_Data'!$N$2:$N$41,MATCH(A5,'2_Inventory_Data'!$A$2:$A$41,0))=24,"23:59",TEXT(MIN(23,VALUE(LEFT(F5,2))+MIN(12,INDEX('2_Inventory_Data'!$N$2:$N$41,MATCH(A5,'2_Inventory_Data'!$A$2:$A$41,0)))),"00")&amp;":00"))</f>
        <v/>
      </c>
      <c r="I5">
        <f>IF(A5="","",INDEX('2_Inventory_Data'!$N$2:$N$41,MATCH(A5,'2_Inventory_Data'!$A$2:$A$41,0)))</f>
        <v/>
      </c>
      <c r="J5">
        <f>IF(A5="","",MIN(I5,12))</f>
        <v/>
      </c>
      <c r="K5" s="10">
        <f>IF(A5="","",ROUND(INDEX('2_Inventory_Data'!$L$2:$L$41,MATCH(A5,'2_Inventory_Data'!$A$2:$A$41,0))*(J5/I5),0))</f>
        <v/>
      </c>
      <c r="L5" s="10">
        <f>IF(A5="","",'4_Selection'!G12)</f>
        <v/>
      </c>
      <c r="M5" s="10">
        <f>IF(A5="","",K5*'1_Inputs'!$E$12)</f>
        <v/>
      </c>
      <c r="N5" s="10">
        <f>IF(A5="","",L5*'1_Inputs'!$E$12)</f>
        <v/>
      </c>
      <c r="O5" s="19">
        <f>IF(A5="","",IFERROR(M5/'1_Inputs'!$B$11,0))</f>
        <v/>
      </c>
    </row>
    <row r="6">
      <c r="A6">
        <f>IF('4_Selection'!I13="YES",'4_Selection'!B13,"")</f>
        <v/>
      </c>
      <c r="B6">
        <f>IF(A6="","",'4_Selection'!C13)</f>
        <v/>
      </c>
      <c r="C6">
        <f>IF(A6="","",'4_Selection'!D13)</f>
        <v/>
      </c>
      <c r="D6">
        <f>IF(A6="","",INDEX('2_Inventory_Data'!$F$2:$F$41,MATCH(A6,'2_Inventory_Data'!$A$2:$A$41,0)))</f>
        <v/>
      </c>
      <c r="E6">
        <f>IF(A6="","",'1_Inputs'!$B$7)</f>
        <v/>
      </c>
      <c r="F6">
        <f>IF(A6="","",IF(INDEX('2_Inventory_Data'!$N$2:$N$41,MATCH(A6,'2_Inventory_Data'!$A$2:$A$41,0))&gt;=20,"06:00",IF(INDEX('2_Inventory_Data'!$N$2:$N$41,MATCH(A6,'2_Inventory_Data'!$A$2:$A$41,0))&gt;=16,"07:00","08:00")))</f>
        <v/>
      </c>
      <c r="G6">
        <f>IF(A6="","",'1_Inputs'!$B$8)</f>
        <v/>
      </c>
      <c r="H6">
        <f>IF(A6="","",IF(INDEX('2_Inventory_Data'!$N$2:$N$41,MATCH(A6,'2_Inventory_Data'!$A$2:$A$41,0))=24,"23:59",TEXT(MIN(23,VALUE(LEFT(F6,2))+MIN(12,INDEX('2_Inventory_Data'!$N$2:$N$41,MATCH(A6,'2_Inventory_Data'!$A$2:$A$41,0)))),"00")&amp;":00"))</f>
        <v/>
      </c>
      <c r="I6">
        <f>IF(A6="","",INDEX('2_Inventory_Data'!$N$2:$N$41,MATCH(A6,'2_Inventory_Data'!$A$2:$A$41,0)))</f>
        <v/>
      </c>
      <c r="J6">
        <f>IF(A6="","",MIN(I6,12))</f>
        <v/>
      </c>
      <c r="K6" s="10">
        <f>IF(A6="","",ROUND(INDEX('2_Inventory_Data'!$L$2:$L$41,MATCH(A6,'2_Inventory_Data'!$A$2:$A$41,0))*(J6/I6),0))</f>
        <v/>
      </c>
      <c r="L6" s="10">
        <f>IF(A6="","",'4_Selection'!G13)</f>
        <v/>
      </c>
      <c r="M6" s="10">
        <f>IF(A6="","",K6*'1_Inputs'!$E$12)</f>
        <v/>
      </c>
      <c r="N6" s="10">
        <f>IF(A6="","",L6*'1_Inputs'!$E$12)</f>
        <v/>
      </c>
      <c r="O6" s="19">
        <f>IF(A6="","",IFERROR(M6/'1_Inputs'!$B$11,0))</f>
        <v/>
      </c>
    </row>
    <row r="7">
      <c r="A7">
        <f>IF('4_Selection'!I14="YES",'4_Selection'!B14,"")</f>
        <v/>
      </c>
      <c r="B7">
        <f>IF(A7="","",'4_Selection'!C14)</f>
        <v/>
      </c>
      <c r="C7">
        <f>IF(A7="","",'4_Selection'!D14)</f>
        <v/>
      </c>
      <c r="D7">
        <f>IF(A7="","",INDEX('2_Inventory_Data'!$F$2:$F$41,MATCH(A7,'2_Inventory_Data'!$A$2:$A$41,0)))</f>
        <v/>
      </c>
      <c r="E7">
        <f>IF(A7="","",'1_Inputs'!$B$7)</f>
        <v/>
      </c>
      <c r="F7">
        <f>IF(A7="","",IF(INDEX('2_Inventory_Data'!$N$2:$N$41,MATCH(A7,'2_Inventory_Data'!$A$2:$A$41,0))&gt;=20,"06:00",IF(INDEX('2_Inventory_Data'!$N$2:$N$41,MATCH(A7,'2_Inventory_Data'!$A$2:$A$41,0))&gt;=16,"07:00","08:00")))</f>
        <v/>
      </c>
      <c r="G7">
        <f>IF(A7="","",'1_Inputs'!$B$8)</f>
        <v/>
      </c>
      <c r="H7">
        <f>IF(A7="","",IF(INDEX('2_Inventory_Data'!$N$2:$N$41,MATCH(A7,'2_Inventory_Data'!$A$2:$A$41,0))=24,"23:59",TEXT(MIN(23,VALUE(LEFT(F7,2))+MIN(12,INDEX('2_Inventory_Data'!$N$2:$N$41,MATCH(A7,'2_Inventory_Data'!$A$2:$A$41,0)))),"00")&amp;":00"))</f>
        <v/>
      </c>
      <c r="I7">
        <f>IF(A7="","",INDEX('2_Inventory_Data'!$N$2:$N$41,MATCH(A7,'2_Inventory_Data'!$A$2:$A$41,0)))</f>
        <v/>
      </c>
      <c r="J7">
        <f>IF(A7="","",MIN(I7,12))</f>
        <v/>
      </c>
      <c r="K7" s="10">
        <f>IF(A7="","",ROUND(INDEX('2_Inventory_Data'!$L$2:$L$41,MATCH(A7,'2_Inventory_Data'!$A$2:$A$41,0))*(J7/I7),0))</f>
        <v/>
      </c>
      <c r="L7" s="10">
        <f>IF(A7="","",'4_Selection'!G14)</f>
        <v/>
      </c>
      <c r="M7" s="10">
        <f>IF(A7="","",K7*'1_Inputs'!$E$12)</f>
        <v/>
      </c>
      <c r="N7" s="10">
        <f>IF(A7="","",L7*'1_Inputs'!$E$12)</f>
        <v/>
      </c>
      <c r="O7" s="19">
        <f>IF(A7="","",IFERROR(M7/'1_Inputs'!$B$11,0))</f>
        <v/>
      </c>
    </row>
    <row r="8">
      <c r="A8">
        <f>IF('4_Selection'!I15="YES",'4_Selection'!B15,"")</f>
        <v/>
      </c>
      <c r="B8">
        <f>IF(A8="","",'4_Selection'!C15)</f>
        <v/>
      </c>
      <c r="C8">
        <f>IF(A8="","",'4_Selection'!D15)</f>
        <v/>
      </c>
      <c r="D8">
        <f>IF(A8="","",INDEX('2_Inventory_Data'!$F$2:$F$41,MATCH(A8,'2_Inventory_Data'!$A$2:$A$41,0)))</f>
        <v/>
      </c>
      <c r="E8">
        <f>IF(A8="","",'1_Inputs'!$B$7)</f>
        <v/>
      </c>
      <c r="F8">
        <f>IF(A8="","",IF(INDEX('2_Inventory_Data'!$N$2:$N$41,MATCH(A8,'2_Inventory_Data'!$A$2:$A$41,0))&gt;=20,"06:00",IF(INDEX('2_Inventory_Data'!$N$2:$N$41,MATCH(A8,'2_Inventory_Data'!$A$2:$A$41,0))&gt;=16,"07:00","08:00")))</f>
        <v/>
      </c>
      <c r="G8">
        <f>IF(A8="","",'1_Inputs'!$B$8)</f>
        <v/>
      </c>
      <c r="H8">
        <f>IF(A8="","",IF(INDEX('2_Inventory_Data'!$N$2:$N$41,MATCH(A8,'2_Inventory_Data'!$A$2:$A$41,0))=24,"23:59",TEXT(MIN(23,VALUE(LEFT(F8,2))+MIN(12,INDEX('2_Inventory_Data'!$N$2:$N$41,MATCH(A8,'2_Inventory_Data'!$A$2:$A$41,0)))),"00")&amp;":00"))</f>
        <v/>
      </c>
      <c r="I8">
        <f>IF(A8="","",INDEX('2_Inventory_Data'!$N$2:$N$41,MATCH(A8,'2_Inventory_Data'!$A$2:$A$41,0)))</f>
        <v/>
      </c>
      <c r="J8">
        <f>IF(A8="","",MIN(I8,12))</f>
        <v/>
      </c>
      <c r="K8" s="10">
        <f>IF(A8="","",ROUND(INDEX('2_Inventory_Data'!$L$2:$L$41,MATCH(A8,'2_Inventory_Data'!$A$2:$A$41,0))*(J8/I8),0))</f>
        <v/>
      </c>
      <c r="L8" s="10">
        <f>IF(A8="","",'4_Selection'!G15)</f>
        <v/>
      </c>
      <c r="M8" s="10">
        <f>IF(A8="","",K8*'1_Inputs'!$E$12)</f>
        <v/>
      </c>
      <c r="N8" s="10">
        <f>IF(A8="","",L8*'1_Inputs'!$E$12)</f>
        <v/>
      </c>
      <c r="O8" s="19">
        <f>IF(A8="","",IFERROR(M8/'1_Inputs'!$B$11,0))</f>
        <v/>
      </c>
    </row>
    <row r="9">
      <c r="A9">
        <f>IF('4_Selection'!I16="YES",'4_Selection'!B16,"")</f>
        <v/>
      </c>
      <c r="B9">
        <f>IF(A9="","",'4_Selection'!C16)</f>
        <v/>
      </c>
      <c r="C9">
        <f>IF(A9="","",'4_Selection'!D16)</f>
        <v/>
      </c>
      <c r="D9">
        <f>IF(A9="","",INDEX('2_Inventory_Data'!$F$2:$F$41,MATCH(A9,'2_Inventory_Data'!$A$2:$A$41,0)))</f>
        <v/>
      </c>
      <c r="E9">
        <f>IF(A9="","",'1_Inputs'!$B$7)</f>
        <v/>
      </c>
      <c r="F9">
        <f>IF(A9="","",IF(INDEX('2_Inventory_Data'!$N$2:$N$41,MATCH(A9,'2_Inventory_Data'!$A$2:$A$41,0))&gt;=20,"06:00",IF(INDEX('2_Inventory_Data'!$N$2:$N$41,MATCH(A9,'2_Inventory_Data'!$A$2:$A$41,0))&gt;=16,"07:00","08:00")))</f>
        <v/>
      </c>
      <c r="G9">
        <f>IF(A9="","",'1_Inputs'!$B$8)</f>
        <v/>
      </c>
      <c r="H9">
        <f>IF(A9="","",IF(INDEX('2_Inventory_Data'!$N$2:$N$41,MATCH(A9,'2_Inventory_Data'!$A$2:$A$41,0))=24,"23:59",TEXT(MIN(23,VALUE(LEFT(F9,2))+MIN(12,INDEX('2_Inventory_Data'!$N$2:$N$41,MATCH(A9,'2_Inventory_Data'!$A$2:$A$41,0)))),"00")&amp;":00"))</f>
        <v/>
      </c>
      <c r="I9">
        <f>IF(A9="","",INDEX('2_Inventory_Data'!$N$2:$N$41,MATCH(A9,'2_Inventory_Data'!$A$2:$A$41,0)))</f>
        <v/>
      </c>
      <c r="J9">
        <f>IF(A9="","",MIN(I9,12))</f>
        <v/>
      </c>
      <c r="K9" s="10">
        <f>IF(A9="","",ROUND(INDEX('2_Inventory_Data'!$L$2:$L$41,MATCH(A9,'2_Inventory_Data'!$A$2:$A$41,0))*(J9/I9),0))</f>
        <v/>
      </c>
      <c r="L9" s="10">
        <f>IF(A9="","",'4_Selection'!G16)</f>
        <v/>
      </c>
      <c r="M9" s="10">
        <f>IF(A9="","",K9*'1_Inputs'!$E$12)</f>
        <v/>
      </c>
      <c r="N9" s="10">
        <f>IF(A9="","",L9*'1_Inputs'!$E$12)</f>
        <v/>
      </c>
      <c r="O9" s="19">
        <f>IF(A9="","",IFERROR(M9/'1_Inputs'!$B$11,0))</f>
        <v/>
      </c>
    </row>
    <row r="10">
      <c r="A10">
        <f>IF('4_Selection'!I17="YES",'4_Selection'!B17,"")</f>
        <v/>
      </c>
      <c r="B10">
        <f>IF(A10="","",'4_Selection'!C17)</f>
        <v/>
      </c>
      <c r="C10">
        <f>IF(A10="","",'4_Selection'!D17)</f>
        <v/>
      </c>
      <c r="D10">
        <f>IF(A10="","",INDEX('2_Inventory_Data'!$F$2:$F$41,MATCH(A10,'2_Inventory_Data'!$A$2:$A$41,0)))</f>
        <v/>
      </c>
      <c r="E10">
        <f>IF(A10="","",'1_Inputs'!$B$7)</f>
        <v/>
      </c>
      <c r="F10">
        <f>IF(A10="","",IF(INDEX('2_Inventory_Data'!$N$2:$N$41,MATCH(A10,'2_Inventory_Data'!$A$2:$A$41,0))&gt;=20,"06:00",IF(INDEX('2_Inventory_Data'!$N$2:$N$41,MATCH(A10,'2_Inventory_Data'!$A$2:$A$41,0))&gt;=16,"07:00","08:00")))</f>
        <v/>
      </c>
      <c r="G10">
        <f>IF(A10="","",'1_Inputs'!$B$8)</f>
        <v/>
      </c>
      <c r="H10">
        <f>IF(A10="","",IF(INDEX('2_Inventory_Data'!$N$2:$N$41,MATCH(A10,'2_Inventory_Data'!$A$2:$A$41,0))=24,"23:59",TEXT(MIN(23,VALUE(LEFT(F10,2))+MIN(12,INDEX('2_Inventory_Data'!$N$2:$N$41,MATCH(A10,'2_Inventory_Data'!$A$2:$A$41,0)))),"00")&amp;":00"))</f>
        <v/>
      </c>
      <c r="I10">
        <f>IF(A10="","",INDEX('2_Inventory_Data'!$N$2:$N$41,MATCH(A10,'2_Inventory_Data'!$A$2:$A$41,0)))</f>
        <v/>
      </c>
      <c r="J10">
        <f>IF(A10="","",MIN(I10,12))</f>
        <v/>
      </c>
      <c r="K10" s="10">
        <f>IF(A10="","",ROUND(INDEX('2_Inventory_Data'!$L$2:$L$41,MATCH(A10,'2_Inventory_Data'!$A$2:$A$41,0))*(J10/I10),0))</f>
        <v/>
      </c>
      <c r="L10" s="10">
        <f>IF(A10="","",'4_Selection'!G17)</f>
        <v/>
      </c>
      <c r="M10" s="10">
        <f>IF(A10="","",K10*'1_Inputs'!$E$12)</f>
        <v/>
      </c>
      <c r="N10" s="10">
        <f>IF(A10="","",L10*'1_Inputs'!$E$12)</f>
        <v/>
      </c>
      <c r="O10" s="19">
        <f>IF(A10="","",IFERROR(M10/'1_Inputs'!$B$11,0))</f>
        <v/>
      </c>
    </row>
    <row r="11">
      <c r="A11">
        <f>IF('4_Selection'!I21="YES",'4_Selection'!B21,"")</f>
        <v/>
      </c>
      <c r="B11">
        <f>IF(A11="","",'4_Selection'!C21)</f>
        <v/>
      </c>
      <c r="C11">
        <f>IF(A11="","",'4_Selection'!D21)</f>
        <v/>
      </c>
      <c r="D11">
        <f>IF(A11="","",INDEX('2_Inventory_Data'!$F$2:$F$41,MATCH(A11,'2_Inventory_Data'!$A$2:$A$41,0)))</f>
        <v/>
      </c>
      <c r="E11">
        <f>IF(A11="","",'1_Inputs'!$B$7)</f>
        <v/>
      </c>
      <c r="F11">
        <f>IF(A11="","",IF(INDEX('2_Inventory_Data'!$N$2:$N$41,MATCH(A11,'2_Inventory_Data'!$A$2:$A$41,0))&gt;=20,"06:00",IF(INDEX('2_Inventory_Data'!$N$2:$N$41,MATCH(A11,'2_Inventory_Data'!$A$2:$A$41,0))&gt;=16,"07:00","08:00")))</f>
        <v/>
      </c>
      <c r="G11">
        <f>IF(A11="","",'1_Inputs'!$B$8)</f>
        <v/>
      </c>
      <c r="H11">
        <f>IF(A11="","",IF(INDEX('2_Inventory_Data'!$N$2:$N$41,MATCH(A11,'2_Inventory_Data'!$A$2:$A$41,0))=24,"23:59",TEXT(MIN(23,VALUE(LEFT(F11,2))+MIN(12,INDEX('2_Inventory_Data'!$N$2:$N$41,MATCH(A11,'2_Inventory_Data'!$A$2:$A$41,0)))),"00")&amp;":00"))</f>
        <v/>
      </c>
      <c r="I11">
        <f>IF(A11="","",INDEX('2_Inventory_Data'!$N$2:$N$41,MATCH(A11,'2_Inventory_Data'!$A$2:$A$41,0)))</f>
        <v/>
      </c>
      <c r="J11">
        <f>IF(A11="","",MIN(I11,12))</f>
        <v/>
      </c>
      <c r="K11" s="10">
        <f>IF(A11="","",ROUND(INDEX('2_Inventory_Data'!$L$2:$L$41,MATCH(A11,'2_Inventory_Data'!$A$2:$A$41,0))*(J11/I11),0))</f>
        <v/>
      </c>
      <c r="L11" s="10">
        <f>IF(A11="","",'4_Selection'!G21)</f>
        <v/>
      </c>
      <c r="M11" s="10">
        <f>IF(A11="","",K11*'1_Inputs'!$E$12)</f>
        <v/>
      </c>
      <c r="N11" s="10">
        <f>IF(A11="","",L11*'1_Inputs'!$E$12)</f>
        <v/>
      </c>
      <c r="O11" s="19">
        <f>IF(A11="","",IFERROR(M11/'1_Inputs'!$B$11,0))</f>
        <v/>
      </c>
    </row>
    <row r="12">
      <c r="A12">
        <f>IF('4_Selection'!I22="YES",'4_Selection'!B22,"")</f>
        <v/>
      </c>
      <c r="B12">
        <f>IF(A12="","",'4_Selection'!C22)</f>
        <v/>
      </c>
      <c r="C12">
        <f>IF(A12="","",'4_Selection'!D22)</f>
        <v/>
      </c>
      <c r="D12">
        <f>IF(A12="","",INDEX('2_Inventory_Data'!$F$2:$F$41,MATCH(A12,'2_Inventory_Data'!$A$2:$A$41,0)))</f>
        <v/>
      </c>
      <c r="E12">
        <f>IF(A12="","",'1_Inputs'!$B$7)</f>
        <v/>
      </c>
      <c r="F12">
        <f>IF(A12="","",IF(INDEX('2_Inventory_Data'!$N$2:$N$41,MATCH(A12,'2_Inventory_Data'!$A$2:$A$41,0))&gt;=20,"06:00",IF(INDEX('2_Inventory_Data'!$N$2:$N$41,MATCH(A12,'2_Inventory_Data'!$A$2:$A$41,0))&gt;=16,"07:00","08:00")))</f>
        <v/>
      </c>
      <c r="G12">
        <f>IF(A12="","",'1_Inputs'!$B$8)</f>
        <v/>
      </c>
      <c r="H12">
        <f>IF(A12="","",IF(INDEX('2_Inventory_Data'!$N$2:$N$41,MATCH(A12,'2_Inventory_Data'!$A$2:$A$41,0))=24,"23:59",TEXT(MIN(23,VALUE(LEFT(F12,2))+MIN(12,INDEX('2_Inventory_Data'!$N$2:$N$41,MATCH(A12,'2_Inventory_Data'!$A$2:$A$41,0)))),"00")&amp;":00"))</f>
        <v/>
      </c>
      <c r="I12">
        <f>IF(A12="","",INDEX('2_Inventory_Data'!$N$2:$N$41,MATCH(A12,'2_Inventory_Data'!$A$2:$A$41,0)))</f>
        <v/>
      </c>
      <c r="J12">
        <f>IF(A12="","",MIN(I12,12))</f>
        <v/>
      </c>
      <c r="K12" s="10">
        <f>IF(A12="","",ROUND(INDEX('2_Inventory_Data'!$L$2:$L$41,MATCH(A12,'2_Inventory_Data'!$A$2:$A$41,0))*(J12/I12),0))</f>
        <v/>
      </c>
      <c r="L12" s="10">
        <f>IF(A12="","",'4_Selection'!G22)</f>
        <v/>
      </c>
      <c r="M12" s="10">
        <f>IF(A12="","",K12*'1_Inputs'!$E$12)</f>
        <v/>
      </c>
      <c r="N12" s="10">
        <f>IF(A12="","",L12*'1_Inputs'!$E$12)</f>
        <v/>
      </c>
      <c r="O12" s="19">
        <f>IF(A12="","",IFERROR(M12/'1_Inputs'!$B$11,0))</f>
        <v/>
      </c>
    </row>
    <row r="13">
      <c r="A13">
        <f>IF('4_Selection'!I23="YES",'4_Selection'!B23,"")</f>
        <v/>
      </c>
      <c r="B13">
        <f>IF(A13="","",'4_Selection'!C23)</f>
        <v/>
      </c>
      <c r="C13">
        <f>IF(A13="","",'4_Selection'!D23)</f>
        <v/>
      </c>
      <c r="D13">
        <f>IF(A13="","",INDEX('2_Inventory_Data'!$F$2:$F$41,MATCH(A13,'2_Inventory_Data'!$A$2:$A$41,0)))</f>
        <v/>
      </c>
      <c r="E13">
        <f>IF(A13="","",'1_Inputs'!$B$7)</f>
        <v/>
      </c>
      <c r="F13">
        <f>IF(A13="","",IF(INDEX('2_Inventory_Data'!$N$2:$N$41,MATCH(A13,'2_Inventory_Data'!$A$2:$A$41,0))&gt;=20,"06:00",IF(INDEX('2_Inventory_Data'!$N$2:$N$41,MATCH(A13,'2_Inventory_Data'!$A$2:$A$41,0))&gt;=16,"07:00","08:00")))</f>
        <v/>
      </c>
      <c r="G13">
        <f>IF(A13="","",'1_Inputs'!$B$8)</f>
        <v/>
      </c>
      <c r="H13">
        <f>IF(A13="","",IF(INDEX('2_Inventory_Data'!$N$2:$N$41,MATCH(A13,'2_Inventory_Data'!$A$2:$A$41,0))=24,"23:59",TEXT(MIN(23,VALUE(LEFT(F13,2))+MIN(12,INDEX('2_Inventory_Data'!$N$2:$N$41,MATCH(A13,'2_Inventory_Data'!$A$2:$A$41,0)))),"00")&amp;":00"))</f>
        <v/>
      </c>
      <c r="I13">
        <f>IF(A13="","",INDEX('2_Inventory_Data'!$N$2:$N$41,MATCH(A13,'2_Inventory_Data'!$A$2:$A$41,0)))</f>
        <v/>
      </c>
      <c r="J13">
        <f>IF(A13="","",MIN(I13,12))</f>
        <v/>
      </c>
      <c r="K13" s="10">
        <f>IF(A13="","",ROUND(INDEX('2_Inventory_Data'!$L$2:$L$41,MATCH(A13,'2_Inventory_Data'!$A$2:$A$41,0))*(J13/I13),0))</f>
        <v/>
      </c>
      <c r="L13" s="10">
        <f>IF(A13="","",'4_Selection'!G23)</f>
        <v/>
      </c>
      <c r="M13" s="10">
        <f>IF(A13="","",K13*'1_Inputs'!$E$12)</f>
        <v/>
      </c>
      <c r="N13" s="10">
        <f>IF(A13="","",L13*'1_Inputs'!$E$12)</f>
        <v/>
      </c>
      <c r="O13" s="19">
        <f>IF(A13="","",IFERROR(M13/'1_Inputs'!$B$11,0))</f>
        <v/>
      </c>
    </row>
    <row r="14">
      <c r="A14">
        <f>IF('4_Selection'!I24="YES",'4_Selection'!B24,"")</f>
        <v/>
      </c>
      <c r="B14">
        <f>IF(A14="","",'4_Selection'!C24)</f>
        <v/>
      </c>
      <c r="C14">
        <f>IF(A14="","",'4_Selection'!D24)</f>
        <v/>
      </c>
      <c r="D14">
        <f>IF(A14="","",INDEX('2_Inventory_Data'!$F$2:$F$41,MATCH(A14,'2_Inventory_Data'!$A$2:$A$41,0)))</f>
        <v/>
      </c>
      <c r="E14">
        <f>IF(A14="","",'1_Inputs'!$B$7)</f>
        <v/>
      </c>
      <c r="F14">
        <f>IF(A14="","",IF(INDEX('2_Inventory_Data'!$N$2:$N$41,MATCH(A14,'2_Inventory_Data'!$A$2:$A$41,0))&gt;=20,"06:00",IF(INDEX('2_Inventory_Data'!$N$2:$N$41,MATCH(A14,'2_Inventory_Data'!$A$2:$A$41,0))&gt;=16,"07:00","08:00")))</f>
        <v/>
      </c>
      <c r="G14">
        <f>IF(A14="","",'1_Inputs'!$B$8)</f>
        <v/>
      </c>
      <c r="H14">
        <f>IF(A14="","",IF(INDEX('2_Inventory_Data'!$N$2:$N$41,MATCH(A14,'2_Inventory_Data'!$A$2:$A$41,0))=24,"23:59",TEXT(MIN(23,VALUE(LEFT(F14,2))+MIN(12,INDEX('2_Inventory_Data'!$N$2:$N$41,MATCH(A14,'2_Inventory_Data'!$A$2:$A$41,0)))),"00")&amp;":00"))</f>
        <v/>
      </c>
      <c r="I14">
        <f>IF(A14="","",INDEX('2_Inventory_Data'!$N$2:$N$41,MATCH(A14,'2_Inventory_Data'!$A$2:$A$41,0)))</f>
        <v/>
      </c>
      <c r="J14">
        <f>IF(A14="","",MIN(I14,12))</f>
        <v/>
      </c>
      <c r="K14" s="10">
        <f>IF(A14="","",ROUND(INDEX('2_Inventory_Data'!$L$2:$L$41,MATCH(A14,'2_Inventory_Data'!$A$2:$A$41,0))*(J14/I14),0))</f>
        <v/>
      </c>
      <c r="L14" s="10">
        <f>IF(A14="","",'4_Selection'!G24)</f>
        <v/>
      </c>
      <c r="M14" s="10">
        <f>IF(A14="","",K14*'1_Inputs'!$E$12)</f>
        <v/>
      </c>
      <c r="N14" s="10">
        <f>IF(A14="","",L14*'1_Inputs'!$E$12)</f>
        <v/>
      </c>
      <c r="O14" s="19">
        <f>IF(A14="","",IFERROR(M14/'1_Inputs'!$B$11,0))</f>
        <v/>
      </c>
    </row>
    <row r="15">
      <c r="A15">
        <f>IF('4_Selection'!I25="YES",'4_Selection'!B25,"")</f>
        <v/>
      </c>
      <c r="B15">
        <f>IF(A15="","",'4_Selection'!C25)</f>
        <v/>
      </c>
      <c r="C15">
        <f>IF(A15="","",'4_Selection'!D25)</f>
        <v/>
      </c>
      <c r="D15">
        <f>IF(A15="","",INDEX('2_Inventory_Data'!$F$2:$F$41,MATCH(A15,'2_Inventory_Data'!$A$2:$A$41,0)))</f>
        <v/>
      </c>
      <c r="E15">
        <f>IF(A15="","",'1_Inputs'!$B$7)</f>
        <v/>
      </c>
      <c r="F15">
        <f>IF(A15="","",IF(INDEX('2_Inventory_Data'!$N$2:$N$41,MATCH(A15,'2_Inventory_Data'!$A$2:$A$41,0))&gt;=20,"06:00",IF(INDEX('2_Inventory_Data'!$N$2:$N$41,MATCH(A15,'2_Inventory_Data'!$A$2:$A$41,0))&gt;=16,"07:00","08:00")))</f>
        <v/>
      </c>
      <c r="G15">
        <f>IF(A15="","",'1_Inputs'!$B$8)</f>
        <v/>
      </c>
      <c r="H15">
        <f>IF(A15="","",IF(INDEX('2_Inventory_Data'!$N$2:$N$41,MATCH(A15,'2_Inventory_Data'!$A$2:$A$41,0))=24,"23:59",TEXT(MIN(23,VALUE(LEFT(F15,2))+MIN(12,INDEX('2_Inventory_Data'!$N$2:$N$41,MATCH(A15,'2_Inventory_Data'!$A$2:$A$41,0)))),"00")&amp;":00"))</f>
        <v/>
      </c>
      <c r="I15">
        <f>IF(A15="","",INDEX('2_Inventory_Data'!$N$2:$N$41,MATCH(A15,'2_Inventory_Data'!$A$2:$A$41,0)))</f>
        <v/>
      </c>
      <c r="J15">
        <f>IF(A15="","",MIN(I15,12))</f>
        <v/>
      </c>
      <c r="K15" s="10">
        <f>IF(A15="","",ROUND(INDEX('2_Inventory_Data'!$L$2:$L$41,MATCH(A15,'2_Inventory_Data'!$A$2:$A$41,0))*(J15/I15),0))</f>
        <v/>
      </c>
      <c r="L15" s="10">
        <f>IF(A15="","",'4_Selection'!G25)</f>
        <v/>
      </c>
      <c r="M15" s="10">
        <f>IF(A15="","",K15*'1_Inputs'!$E$12)</f>
        <v/>
      </c>
      <c r="N15" s="10">
        <f>IF(A15="","",L15*'1_Inputs'!$E$12)</f>
        <v/>
      </c>
      <c r="O15" s="19">
        <f>IF(A15="","",IFERROR(M15/'1_Inputs'!$B$11,0))</f>
        <v/>
      </c>
    </row>
    <row r="16">
      <c r="A16">
        <f>IF('4_Selection'!I29="YES",'4_Selection'!B29,"")</f>
        <v/>
      </c>
      <c r="B16">
        <f>IF(A16="","",'4_Selection'!C29)</f>
        <v/>
      </c>
      <c r="C16">
        <f>IF(A16="","",'4_Selection'!D29)</f>
        <v/>
      </c>
      <c r="D16">
        <f>IF(A16="","",INDEX('2_Inventory_Data'!$F$2:$F$41,MATCH(A16,'2_Inventory_Data'!$A$2:$A$41,0)))</f>
        <v/>
      </c>
      <c r="E16">
        <f>IF(A16="","",'1_Inputs'!$B$7)</f>
        <v/>
      </c>
      <c r="F16">
        <f>IF(A16="","",IF(INDEX('2_Inventory_Data'!$N$2:$N$41,MATCH(A16,'2_Inventory_Data'!$A$2:$A$41,0))&gt;=20,"06:00",IF(INDEX('2_Inventory_Data'!$N$2:$N$41,MATCH(A16,'2_Inventory_Data'!$A$2:$A$41,0))&gt;=16,"07:00","08:00")))</f>
        <v/>
      </c>
      <c r="G16">
        <f>IF(A16="","",'1_Inputs'!$B$8)</f>
        <v/>
      </c>
      <c r="H16">
        <f>IF(A16="","",IF(INDEX('2_Inventory_Data'!$N$2:$N$41,MATCH(A16,'2_Inventory_Data'!$A$2:$A$41,0))=24,"23:59",TEXT(MIN(23,VALUE(LEFT(F16,2))+MIN(12,INDEX('2_Inventory_Data'!$N$2:$N$41,MATCH(A16,'2_Inventory_Data'!$A$2:$A$41,0)))),"00")&amp;":00"))</f>
        <v/>
      </c>
      <c r="I16">
        <f>IF(A16="","",INDEX('2_Inventory_Data'!$N$2:$N$41,MATCH(A16,'2_Inventory_Data'!$A$2:$A$41,0)))</f>
        <v/>
      </c>
      <c r="J16">
        <f>IF(A16="","",MIN(I16,12))</f>
        <v/>
      </c>
      <c r="K16" s="10">
        <f>IF(A16="","",ROUND(INDEX('2_Inventory_Data'!$L$2:$L$41,MATCH(A16,'2_Inventory_Data'!$A$2:$A$41,0))*(J16/I16),0))</f>
        <v/>
      </c>
      <c r="L16" s="10">
        <f>IF(A16="","",'4_Selection'!G29)</f>
        <v/>
      </c>
      <c r="M16" s="10">
        <f>IF(A16="","",K16*'1_Inputs'!$E$12)</f>
        <v/>
      </c>
      <c r="N16" s="10">
        <f>IF(A16="","",L16*'1_Inputs'!$E$12)</f>
        <v/>
      </c>
      <c r="O16" s="19">
        <f>IF(A16="","",IFERROR(M16/'1_Inputs'!$B$11,0))</f>
        <v/>
      </c>
    </row>
    <row r="17">
      <c r="A17" s="3" t="inlineStr">
        <is>
          <t>CAMPAIGN SUMMARY</t>
        </is>
      </c>
      <c r="E17">
        <f>IF(A17="","",'1_Inputs'!$B$7)</f>
        <v/>
      </c>
      <c r="F17">
        <f>IF(A17="","",IF(INDEX('2_Inventory_Data'!$N$2:$N$41,MATCH(A17,'2_Inventory_Data'!$A$2:$A$41,0))&gt;=20,"06:00",IF(INDEX('2_Inventory_Data'!$N$2:$N$41,MATCH(A17,'2_Inventory_Data'!$A$2:$A$41,0))&gt;=16,"07:00","08:00")))</f>
        <v/>
      </c>
      <c r="G17">
        <f>IF(A17="","",'1_Inputs'!$B$8)</f>
        <v/>
      </c>
      <c r="H17">
        <f>IF(A17="","",IF(INDEX('2_Inventory_Data'!$N$2:$N$41,MATCH(A17,'2_Inventory_Data'!$A$2:$A$41,0))=24,"23:59",TEXT(MIN(23,VALUE(LEFT(F17,2))+MIN(12,INDEX('2_Inventory_Data'!$N$2:$N$41,MATCH(A17,'2_Inventory_Data'!$A$2:$A$41,0)))),"00")&amp;":00"))</f>
        <v/>
      </c>
      <c r="I17">
        <f>IF(A17="","",INDEX('2_Inventory_Data'!$N$2:$N$41,MATCH(A17,'2_Inventory_Data'!$A$2:$A$41,0)))</f>
        <v/>
      </c>
      <c r="J17">
        <f>IF(A17="","",MIN(I17,12))</f>
        <v/>
      </c>
      <c r="K17" s="10">
        <f>IF(A17="","",ROUND(INDEX('2_Inventory_Data'!$L$2:$L$41,MATCH(A17,'2_Inventory_Data'!$A$2:$A$41,0))*(J17/I17),0))</f>
        <v/>
      </c>
      <c r="L17" s="10">
        <f>IF(A17="","",'4_Selection'!G30)</f>
        <v/>
      </c>
      <c r="M17" s="10">
        <f>IF(A17="","",K17*'1_Inputs'!$E$12)</f>
        <v/>
      </c>
      <c r="N17" s="10">
        <f>IF(A17="","",L17*'1_Inputs'!$E$12)</f>
        <v/>
      </c>
      <c r="O17" s="19">
        <f>IF(A17="","",IFERROR(M17/'1_Inputs'!$B$11,0))</f>
        <v/>
      </c>
    </row>
    <row r="18">
      <c r="A18" s="8" t="inlineStr">
        <is>
          <t>Metric</t>
        </is>
      </c>
      <c r="B18" s="8" t="inlineStr">
        <is>
          <t>Value</t>
        </is>
      </c>
      <c r="C18" s="8" t="inlineStr">
        <is>
          <t>Target</t>
        </is>
      </c>
      <c r="D18" s="8" t="inlineStr">
        <is>
          <t>Status</t>
        </is>
      </c>
      <c r="E18">
        <f>IF(A18="","",'1_Inputs'!$B$7)</f>
        <v/>
      </c>
      <c r="F18">
        <f>IF(A18="","",IF(INDEX('2_Inventory_Data'!$N$2:$N$41,MATCH(A18,'2_Inventory_Data'!$A$2:$A$41,0))&gt;=20,"06:00",IF(INDEX('2_Inventory_Data'!$N$2:$N$41,MATCH(A18,'2_Inventory_Data'!$A$2:$A$41,0))&gt;=16,"07:00","08:00")))</f>
        <v/>
      </c>
      <c r="G18">
        <f>IF(A18="","",'1_Inputs'!$B$8)</f>
        <v/>
      </c>
      <c r="H18">
        <f>IF(A18="","",IF(INDEX('2_Inventory_Data'!$N$2:$N$41,MATCH(A18,'2_Inventory_Data'!$A$2:$A$41,0))=24,"23:59",TEXT(MIN(23,VALUE(LEFT(F18,2))+MIN(12,INDEX('2_Inventory_Data'!$N$2:$N$41,MATCH(A18,'2_Inventory_Data'!$A$2:$A$41,0)))),"00")&amp;":00"))</f>
        <v/>
      </c>
      <c r="I18">
        <f>IF(A18="","",INDEX('2_Inventory_Data'!$N$2:$N$41,MATCH(A18,'2_Inventory_Data'!$A$2:$A$41,0)))</f>
        <v/>
      </c>
      <c r="J18">
        <f>IF(A18="","",MIN(I18,12))</f>
        <v/>
      </c>
      <c r="K18" s="10">
        <f>IF(A18="","",ROUND(INDEX('2_Inventory_Data'!$L$2:$L$41,MATCH(A18,'2_Inventory_Data'!$A$2:$A$41,0))*(J18/I18),0))</f>
        <v/>
      </c>
      <c r="L18" s="10">
        <f>IF(A18="","",'4_Selection'!G31)</f>
        <v/>
      </c>
      <c r="M18" s="10">
        <f>IF(A18="","",K18*'1_Inputs'!$E$12)</f>
        <v/>
      </c>
      <c r="N18" s="10">
        <f>IF(A18="","",L18*'1_Inputs'!$E$12)</f>
        <v/>
      </c>
      <c r="O18" s="19">
        <f>IF(A18="","",IFERROR(M18/'1_Inputs'!$B$11,0))</f>
        <v/>
      </c>
    </row>
    <row r="19">
      <c r="A19" t="inlineStr">
        <is>
          <t>Total Impressions</t>
        </is>
      </c>
      <c r="B19" s="10">
        <f>SUM(M5:M14)</f>
        <v/>
      </c>
      <c r="C19" s="10">
        <f>'1_Inputs'!B11</f>
        <v/>
      </c>
      <c r="D19">
        <f>IF(B19&gt;=C19*1.1,"EXCEEDED",IF(B19&gt;=C19*0.95,"MET",IF(B19&gt;=C19*0.8,"CLOSE","BELOW")))</f>
        <v/>
      </c>
    </row>
    <row r="20">
      <c r="A20" t="inlineStr">
        <is>
          <t>Total Cost</t>
        </is>
      </c>
      <c r="B20" s="10">
        <f>SUM(N5:N14)</f>
        <v/>
      </c>
      <c r="C20" s="10">
        <f>'1_Inputs'!B9</f>
        <v/>
      </c>
      <c r="D20">
        <f>IF(B20&lt;=C20*0.95,"UNDER BUDGET",IF(B20&lt;=C20*1.05,"ON BUDGET","OVER BUDGET"))</f>
        <v/>
      </c>
    </row>
    <row r="21">
      <c r="A21" t="inlineStr">
        <is>
          <t>Goal Achievement</t>
        </is>
      </c>
      <c r="B21" s="19">
        <f>IFERROR(B19/C19,0)</f>
        <v/>
      </c>
      <c r="C21" t="inlineStr">
        <is>
          <t>100%</t>
        </is>
      </c>
      <c r="D21">
        <f>IF(B21&gt;=1.1,"EXCEEDED TARGET",IF(B21&gt;=0.95,"TARGET MET",IF(B21&gt;=0.8,"NEARLY MET","BELOW TARGET")))</f>
        <v/>
      </c>
    </row>
    <row r="22">
      <c r="A22" t="inlineStr">
        <is>
          <t>Budget Utilization</t>
        </is>
      </c>
      <c r="B22" s="19">
        <f>IFERROR(B20/C20,0)</f>
        <v/>
      </c>
      <c r="C22" t="inlineStr">
        <is>
          <t>100%</t>
        </is>
      </c>
      <c r="D22">
        <f>IF(B22&gt;=1.05,"OVER BUDGET",IF(B22&gt;=0.95,"OPTIMAL","UNDER-UTILIZED"))</f>
        <v/>
      </c>
    </row>
    <row r="23">
      <c r="A23" t="inlineStr">
        <is>
          <t>Inventories Selected</t>
        </is>
      </c>
      <c r="B23">
        <f>COUNTIF('4_Selection'!I12:I26,"YES")</f>
        <v/>
      </c>
      <c r="C23" t="inlineStr"/>
      <c r="D23" t="inlineStr"/>
    </row>
    <row r="25">
      <c r="A25" s="3" t="inlineStr">
        <is>
          <t>EFFICIENCY METRICS</t>
        </is>
      </c>
    </row>
    <row r="26">
      <c r="A26" t="inlineStr">
        <is>
          <t>Effective CPM</t>
        </is>
      </c>
      <c r="B26" s="20">
        <f>IFERROR(B20/(B19/1000),0)</f>
        <v/>
      </c>
      <c r="C26">
        <f>'1_Inputs'!C5</f>
        <v/>
      </c>
      <c r="D26">
        <f>IF(B26&lt;20,"EXCELLENT",IF(B26&lt;50,"GOOD",IF(B26&lt;100,"AVERAGE","EXPENSIVE")))</f>
        <v/>
      </c>
    </row>
    <row r="27">
      <c r="A27" t="inlineStr">
        <is>
          <t>Cost per Day</t>
        </is>
      </c>
      <c r="B27" s="10">
        <f>IFERROR(B20/'1_Inputs'!E12,0)</f>
        <v/>
      </c>
      <c r="C27">
        <f>'1_Inputs'!C5</f>
        <v/>
      </c>
      <c r="D27" t="inlineStr"/>
    </row>
    <row r="28">
      <c r="A28" t="inlineStr">
        <is>
          <t>Impressions per Day</t>
        </is>
      </c>
      <c r="B28" s="10">
        <f>IFERROR(B19/'1_Inputs'!E12,0)</f>
        <v/>
      </c>
      <c r="C28" t="inlineStr"/>
      <c r="D28" t="inlineStr"/>
    </row>
  </sheetData>
  <mergeCells count="4">
    <mergeCell ref="A1:O1"/>
    <mergeCell ref="A17:D17"/>
    <mergeCell ref="A25:D25"/>
    <mergeCell ref="A2:O2"/>
  </mergeCells>
  <conditionalFormatting sqref="D19:D22">
    <cfRule type="expression" priority="1" dxfId="0">
      <formula>OR($D19="MET",$D19="ON BUDGET",$D19="TARGET MET",$D19="OPTIMAL")</formula>
    </cfRule>
    <cfRule type="expression" priority="2" dxfId="0">
      <formula>OR($D19="EXCEEDED",$D19="EXCEEDED TARGET")</formula>
    </cfRule>
    <cfRule type="expression" priority="3" dxfId="1">
      <formula>OR($D19="CLOSE",$D19="NEARLY MET",$D19="UNDER BUDGET",$D19="UNDER-UTILIZED")</formula>
    </cfRule>
    <cfRule type="expression" priority="4" dxfId="2">
      <formula>OR($D19="BELOW",$D19="BELOW TARGET",$D19="OVER BUDGET")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8" customWidth="1" min="4" max="4"/>
    <col width="15" customWidth="1" min="5" max="5"/>
  </cols>
  <sheetData>
    <row r="1">
      <c r="A1" s="12" t="inlineStr">
        <is>
          <t>CAMPAIGN PLAN VISUALIZATION</t>
        </is>
      </c>
    </row>
    <row r="3">
      <c r="A3" s="3" t="inlineStr">
        <is>
          <t>CAMPAIGN PARAMETERS</t>
        </is>
      </c>
      <c r="D3" s="3" t="inlineStr">
        <is>
          <t>ALLOCATION BY CLASSIFICATION</t>
        </is>
      </c>
    </row>
    <row r="4">
      <c r="A4" s="4" t="inlineStr">
        <is>
          <t>Country</t>
        </is>
      </c>
      <c r="B4">
        <f>'1_Inputs'!B5</f>
        <v/>
      </c>
      <c r="D4" t="inlineStr">
        <is>
          <t>Classification</t>
        </is>
      </c>
      <c r="E4" t="inlineStr">
        <is>
          <t>Budget</t>
        </is>
      </c>
    </row>
    <row r="5">
      <c r="A5" s="4" t="inlineStr">
        <is>
          <t>City Filter</t>
        </is>
      </c>
      <c r="B5">
        <f>'1_Inputs'!B6</f>
        <v/>
      </c>
      <c r="D5" t="inlineStr">
        <is>
          <t>Digital</t>
        </is>
      </c>
      <c r="E5">
        <f>'1_Inputs'!F18</f>
        <v/>
      </c>
    </row>
    <row r="6">
      <c r="A6" s="4" t="inlineStr">
        <is>
          <t>Venue Filter</t>
        </is>
      </c>
      <c r="B6">
        <f>'1_Inputs'!B14</f>
        <v/>
      </c>
      <c r="D6" t="inlineStr">
        <is>
          <t>Classic</t>
        </is>
      </c>
      <c r="E6">
        <f>'1_Inputs'!F19</f>
        <v/>
      </c>
    </row>
    <row r="7">
      <c r="A7" s="4" t="inlineStr">
        <is>
          <t>Campaign Duration</t>
        </is>
      </c>
      <c r="B7">
        <f>'1_Inputs'!E12&amp;" days"</f>
        <v/>
      </c>
      <c r="D7" t="inlineStr">
        <is>
          <t>Audio</t>
        </is>
      </c>
      <c r="E7">
        <f>'1_Inputs'!F20</f>
        <v/>
      </c>
    </row>
    <row r="8">
      <c r="A8" s="4" t="inlineStr">
        <is>
          <t>Budget</t>
        </is>
      </c>
      <c r="B8">
        <f>'1_Inputs'!C5&amp;" "&amp;TEXT('1_Inputs'!B9,"#,##0")</f>
        <v/>
      </c>
    </row>
    <row r="9">
      <c r="A9" s="4" t="inlineStr">
        <is>
          <t>Goal Type</t>
        </is>
      </c>
      <c r="B9">
        <f>'1_Inputs'!B10</f>
        <v/>
      </c>
    </row>
    <row r="10">
      <c r="A10" s="4" t="inlineStr">
        <is>
          <t>Goal Value</t>
        </is>
      </c>
      <c r="B10">
        <f>TEXT('1_Inputs'!B11,"#,##0")</f>
        <v/>
      </c>
    </row>
    <row r="11">
      <c r="A11" s="4" t="inlineStr">
        <is>
          <t>Pricing Model</t>
        </is>
      </c>
      <c r="B11">
        <f>'1_Inputs'!E13</f>
        <v/>
      </c>
    </row>
    <row r="13">
      <c r="A13" s="3" t="inlineStr">
        <is>
          <t>RESULTS</t>
        </is>
      </c>
    </row>
    <row r="14">
      <c r="A14" s="4" t="inlineStr">
        <is>
          <t>Inventories Selected</t>
        </is>
      </c>
      <c r="B14">
        <f>COUNTIF('4_Selection'!I12:I26,"YES")</f>
        <v/>
      </c>
    </row>
    <row r="15">
      <c r="A15" s="4" t="inlineStr">
        <is>
          <t>Total Impressions</t>
        </is>
      </c>
      <c r="B15">
        <f>'5_Schedules'!B16</f>
        <v/>
      </c>
    </row>
    <row r="16">
      <c r="A16" s="4" t="inlineStr">
        <is>
          <t>Total Cost</t>
        </is>
      </c>
      <c r="B16">
        <f>'1_Inputs'!C5&amp;" "&amp;TEXT('5_Schedules'!B17,"#,##0")</f>
        <v/>
      </c>
    </row>
    <row r="17">
      <c r="A17" s="4" t="inlineStr">
        <is>
          <t>Budget Utilization</t>
        </is>
      </c>
      <c r="B17">
        <f>TEXT('5_Schedules'!B18,"0.0%")</f>
        <v/>
      </c>
    </row>
    <row r="18">
      <c r="A18" s="4" t="inlineStr">
        <is>
          <t>Goal Achievement</t>
        </is>
      </c>
      <c r="B18">
        <f>TEXT('5_Schedules'!B19,"0.0%")</f>
        <v/>
      </c>
    </row>
  </sheetData>
  <mergeCells count="4">
    <mergeCell ref="A13:B13"/>
    <mergeCell ref="A3:B3"/>
    <mergeCell ref="D3:E3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15" customWidth="1" min="1" max="1"/>
    <col width="22" customWidth="1" min="2" max="2"/>
    <col width="55" customWidth="1" min="3" max="3"/>
    <col width="50" customWidth="1" min="4" max="4"/>
  </cols>
  <sheetData>
    <row r="1">
      <c r="A1" s="12" t="inlineStr">
        <is>
          <t>FORMULA REFERENCE - Understanding the Calculations</t>
        </is>
      </c>
    </row>
    <row r="3">
      <c r="A3" s="21" t="inlineStr">
        <is>
          <t>This sheet explains all formulas used in the simulator. Click any cell in other sheets to see the formula.</t>
        </is>
      </c>
    </row>
    <row r="5">
      <c r="A5" s="3" t="inlineStr">
        <is>
          <t>Section</t>
        </is>
      </c>
      <c r="B5" s="3" t="inlineStr">
        <is>
          <t>Formula Name</t>
        </is>
      </c>
      <c r="C5" s="3" t="inlineStr">
        <is>
          <t>Formula Logic</t>
        </is>
      </c>
      <c r="D5" s="3" t="inlineStr">
        <is>
          <t>Explanation</t>
        </is>
      </c>
    </row>
    <row r="6">
      <c r="A6" t="inlineStr">
        <is>
          <t>Inputs</t>
        </is>
      </c>
      <c r="B6" t="inlineStr">
        <is>
          <t>Currency</t>
        </is>
      </c>
      <c r="C6">
        <f>IF(Country="Malaysia","MYR","JPY")</f>
        <v/>
      </c>
      <c r="D6" t="inlineStr">
        <is>
          <t>Auto-selects currency based on country</t>
        </is>
      </c>
    </row>
    <row r="7">
      <c r="A7" t="inlineStr">
        <is>
          <t>Inputs</t>
        </is>
      </c>
      <c r="B7" t="inlineStr">
        <is>
          <t>Pricing Model</t>
        </is>
      </c>
      <c r="C7">
        <f>IF(Goal IN (Impr,Reach,CO2),"CPM","CPS")</f>
        <v/>
      </c>
      <c r="D7" t="inlineStr">
        <is>
          <t>CPM for impressions/reach, CPS for plays/SOV</t>
        </is>
      </c>
    </row>
    <row r="8">
      <c r="A8" t="inlineStr">
        <is>
          <t>Inputs</t>
        </is>
      </c>
      <c r="B8" t="inlineStr">
        <is>
          <t>Digital Allocation</t>
        </is>
      </c>
      <c r="C8">
        <f>IF(Goal="Ad Plays",95%,...)</f>
        <v/>
      </c>
      <c r="D8" t="inlineStr">
        <is>
          <t>Goal-driven allocation (see PRD Section 12.3)</t>
        </is>
      </c>
    </row>
    <row r="9">
      <c r="A9" t="inlineStr">
        <is>
          <t>Scoring</t>
        </is>
      </c>
      <c r="B9" t="inlineStr">
        <is>
          <t>Filter Match</t>
        </is>
      </c>
      <c r="C9">
        <f>IF(Country+City+Venue+Class match,"MATCH","FILTERED")</f>
        <v/>
      </c>
      <c r="D9" t="inlineStr">
        <is>
          <t>Only matched inventories get scored</t>
        </is>
      </c>
    </row>
    <row r="10">
      <c r="A10" t="inlineStr">
        <is>
          <t>Scoring</t>
        </is>
      </c>
      <c r="B10" t="inlineStr">
        <is>
          <t>Geo Fit</t>
        </is>
      </c>
      <c r="C10">
        <f>IF(Tier=1,100,IF(Tier=2,85,70))</f>
        <v/>
      </c>
      <c r="D10" t="inlineStr">
        <is>
          <t>Higher tier cities get higher geo scores</t>
        </is>
      </c>
    </row>
    <row r="11">
      <c r="A11" t="inlineStr">
        <is>
          <t>Scoring</t>
        </is>
      </c>
      <c r="B11" t="inlineStr">
        <is>
          <t>Budget Fit</t>
        </is>
      </c>
      <c r="C11">
        <f>MAX(0,100-CPM*0.3)</f>
        <v/>
      </c>
      <c r="D11" t="inlineStr">
        <is>
          <t>Lower CPM = more budget efficient = higher score</t>
        </is>
      </c>
    </row>
    <row r="12">
      <c r="A12" t="inlineStr">
        <is>
          <t>Scoring</t>
        </is>
      </c>
      <c r="B12" t="inlineStr">
        <is>
          <t>Audience Fit</t>
        </is>
      </c>
      <c r="C12">
        <f>(Age_Match+Interest_Match+Behavior_Match)/3</f>
        <v/>
      </c>
      <c r="D12" t="inlineStr">
        <is>
          <t>Weighted average of audience segment matches</t>
        </is>
      </c>
    </row>
    <row r="13">
      <c r="A13" t="inlineStr">
        <is>
          <t>Scoring</t>
        </is>
      </c>
      <c r="B13" t="inlineStr">
        <is>
          <t>Final Score</t>
        </is>
      </c>
      <c r="C13">
        <f>Weighted sum of 8 factors</f>
        <v/>
      </c>
      <c r="D13" t="inlineStr">
        <is>
          <t>Weights: Geo 15%, Avail 10%, Budget 18%, Audience 22%, Brand 10%, Quality 10%, Time 10%, Country 5%</t>
        </is>
      </c>
    </row>
    <row r="14">
      <c r="A14" t="inlineStr">
        <is>
          <t>Selection</t>
        </is>
      </c>
      <c r="B14" t="inlineStr">
        <is>
          <t>Daily Cost (CPM)</t>
        </is>
      </c>
      <c r="C14">
        <f>Daily_Impressions/1000 * CPM</f>
        <v/>
      </c>
      <c r="D14" t="inlineStr">
        <is>
          <t>Cost per thousand impressions * volume</t>
        </is>
      </c>
    </row>
    <row r="15">
      <c r="A15" t="inlineStr">
        <is>
          <t>Selection</t>
        </is>
      </c>
      <c r="B15" t="inlineStr">
        <is>
          <t>Daily Cost (CPS)</t>
        </is>
      </c>
      <c r="C15">
        <f>CPS * Slots_Per_Loop * Operating_Hours</f>
        <v/>
      </c>
      <c r="D15" t="inlineStr">
        <is>
          <t>Cost per slot * slots per hour * hours</t>
        </is>
      </c>
    </row>
    <row r="16">
      <c r="A16" t="inlineStr">
        <is>
          <t>Selection</t>
        </is>
      </c>
      <c r="B16" t="inlineStr">
        <is>
          <t>Selected</t>
        </is>
      </c>
      <c r="C16">
        <f>IF(Cumulative_Cost &lt;= Budget*1.05,"YES","NO")</f>
        <v/>
      </c>
      <c r="D16" t="inlineStr">
        <is>
          <t>5% tolerance for budget overage</t>
        </is>
      </c>
    </row>
    <row r="17">
      <c r="A17" t="inlineStr">
        <is>
          <t>Schedules</t>
        </is>
      </c>
      <c r="B17" t="inlineStr">
        <is>
          <t>Campaign Cost</t>
        </is>
      </c>
      <c r="C17">
        <f>Daily_Cost * Campaign_Days</f>
        <v/>
      </c>
      <c r="D17" t="inlineStr">
        <is>
          <t>Total cost = daily rate * duration</t>
        </is>
      </c>
    </row>
    <row r="18">
      <c r="A18" t="inlineStr">
        <is>
          <t>Schedules</t>
        </is>
      </c>
      <c r="B18" t="inlineStr">
        <is>
          <t>Goal Achievement</t>
        </is>
      </c>
      <c r="C18">
        <f>Total_Impressions / Goal_Value</f>
        <v/>
      </c>
      <c r="D18" t="inlineStr">
        <is>
          <t>How close to target goal</t>
        </is>
      </c>
    </row>
    <row r="19">
      <c r="A19" t="inlineStr">
        <is>
          <t>City Tier</t>
        </is>
      </c>
      <c r="B19" t="inlineStr">
        <is>
          <t>Tier 1 Cities</t>
        </is>
      </c>
      <c r="C19" t="inlineStr">
        <is>
          <t>MY: Kuala Lumpur, KLIA | JP: Tokyo, Osaka</t>
        </is>
      </c>
      <c r="D19" t="inlineStr">
        <is>
          <t>Capital regions, 10M+ population</t>
        </is>
      </c>
    </row>
    <row r="20">
      <c r="A20" t="inlineStr">
        <is>
          <t>City Tier</t>
        </is>
      </c>
      <c r="B20" t="inlineStr">
        <is>
          <t>Tier 2 Cities</t>
        </is>
      </c>
      <c r="C20" t="inlineStr">
        <is>
          <t>MY: Penang, JB, Ipoh | JP: Nagoya, Yokohama, Kyoto</t>
        </is>
      </c>
      <c r="D20" t="inlineStr">
        <is>
          <t>Regional capitals, 1-5M population</t>
        </is>
      </c>
    </row>
    <row r="21">
      <c r="A21" t="inlineStr">
        <is>
          <t>City Tier</t>
        </is>
      </c>
      <c r="B21" t="inlineStr">
        <is>
          <t>Tier 3 Cities</t>
        </is>
      </c>
      <c r="C21" t="inlineStr">
        <is>
          <t>MY: Melaka, etc. | JP: Others</t>
        </is>
      </c>
      <c r="D21" t="inlineStr">
        <is>
          <t>Smaller cities, &lt;1M population</t>
        </is>
      </c>
    </row>
  </sheetData>
  <mergeCells count="2">
    <mergeCell ref="A1:D1"/>
    <mergeCell ref="A3:D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2026-01-30T07:18:31Z</dcterms:created>
  <dcterms:modified xsi:type="dcterms:W3CDTF">2026-01-30T07:18:31Z</dcterms:modified>
</cp:coreProperties>
</file>